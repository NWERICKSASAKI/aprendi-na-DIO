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D:\Google Drive\Documentos NUVEM\codes\Mult\aprendi-na-DIO\TOTVS - Fundamentos de Engenharia de Dados e Machine Learning\P2 - Criando um Dashboard de Vendas do Xbox com Excel\"/>
    </mc:Choice>
  </mc:AlternateContent>
  <xr:revisionPtr revIDLastSave="0" documentId="13_ncr:1_{248A9903-2EED-491F-834B-55C4C6F74AF2}" xr6:coauthVersionLast="47" xr6:coauthVersionMax="47" xr10:uidLastSave="{00000000-0000-0000-0000-000000000000}"/>
  <bookViews>
    <workbookView xWindow="840" yWindow="-120" windowWidth="28080" windowHeight="16440" tabRatio="32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Auto_Renewal">#N/A</definedName>
    <definedName name="SegmentaçãodeDados_EA_Play_Season_Pass">#N/A</definedName>
    <definedName name="SegmentaçãodeDados_Minecraft_Season_Pass">#N/A</definedName>
    <definedName name="SegmentaçãodeDados_Plan">#N/A</definedName>
    <definedName name="SegmentaçãodeDados_Subscription_Type">#N/A</definedName>
  </definedNames>
  <calcPr calcId="18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3" i="3" l="1"/>
  <c r="E52" i="3"/>
  <c r="E51" i="3"/>
  <c r="E50" i="3"/>
  <c r="E49" i="3"/>
</calcChain>
</file>

<file path=xl/sharedStrings.xml><?xml version="1.0" encoding="utf-8"?>
<sst xmlns="http://schemas.openxmlformats.org/spreadsheetml/2006/main" count="2049" uniqueCount="341">
  <si>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</si>
  <si>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</si>
  <si>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</si>
  <si>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</si>
  <si>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</si>
  <si>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</si>
  <si>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</si>
  <si>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</si>
  <si>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</si>
  <si>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</si>
  <si>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</si>
  <si>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</si>
  <si>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</si>
  <si>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</si>
  <si>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</si>
  <si>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</si>
  <si>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</si>
  <si>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</si>
  <si>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</si>
  <si>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</si>
  <si>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</si>
  <si>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</si>
  <si>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</si>
  <si>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</si>
  <si>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</si>
  <si>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</si>
  <si>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</si>
  <si>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</si>
  <si>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</si>
  <si>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</si>
  <si>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</si>
  <si>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</si>
  <si>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</si>
  <si>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</si>
  <si>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</si>
  <si>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</si>
  <si>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</si>
  <si>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</si>
  <si>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</si>
  <si>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</si>
  <si>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</si>
  <si>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</si>
  <si>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</si>
  <si>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</si>
  <si>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</si>
  <si>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</si>
  <si>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</si>
  <si>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</si>
  <si>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</si>
  <si>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</si>
  <si>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</si>
  <si>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</si>
  <si>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</si>
  <si>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</si>
  <si>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</si>
  <si>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</si>
  <si>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</si>
  <si>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</si>
  <si>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</si>
  <si>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</si>
  <si>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</si>
  <si>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</si>
  <si>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</si>
  <si>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</si>
  <si>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</si>
  <si>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</si>
  <si>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</si>
  <si>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</si>
  <si>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</si>
  <si>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</si>
  <si>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</si>
  <si>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</si>
  <si>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</si>
  <si>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</si>
  <si>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</si>
  <si>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</si>
  <si>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</si>
  <si>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</si>
  <si>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</si>
  <si>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</si>
  <si>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</si>
  <si>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</si>
  <si>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</si>
  <si>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</si>
  <si>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</si>
  <si>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</si>
  <si>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</si>
  <si>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</si>
  <si>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</si>
  <si>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</si>
  <si>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</si>
  <si>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</si>
  <si>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</si>
  <si>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</si>
  <si>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</si>
  <si>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</si>
  <si>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</si>
  <si>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</si>
  <si>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</si>
  <si>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</si>
  <si>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</si>
  <si>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</si>
  <si>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</si>
  <si>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</si>
  <si>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</si>
  <si>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</si>
  <si>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</si>
  <si>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</si>
  <si>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</si>
  <si>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</si>
  <si>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</si>
  <si>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</si>
  <si>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</si>
  <si>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</si>
  <si>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</si>
  <si>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</si>
  <si>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</si>
  <si>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</si>
  <si>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</si>
  <si>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</si>
  <si>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</si>
  <si>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</si>
  <si>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</si>
  <si>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</si>
  <si>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</si>
  <si>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</si>
  <si>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</si>
  <si>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</si>
  <si>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</si>
  <si>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</si>
  <si>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</si>
  <si>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</si>
  <si>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</si>
  <si>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</si>
  <si>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</si>
  <si>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</si>
  <si>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</si>
  <si>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</si>
  <si>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</si>
  <si>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</si>
  <si>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</si>
  <si>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</si>
  <si>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</si>
  <si>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</si>
  <si>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</si>
  <si>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</si>
  <si>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</si>
  <si>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</si>
  <si>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</si>
  <si>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</si>
  <si>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</si>
  <si>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</si>
  <si>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</si>
  <si>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</si>
  <si>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</si>
  <si>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</si>
  <si>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</si>
  <si>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</si>
  <si>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</si>
  <si>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</si>
  <si>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</si>
  <si>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</si>
  <si>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</si>
  <si>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</si>
  <si>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</si>
  <si>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</si>
  <si>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</si>
  <si>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</si>
  <si>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</si>
  <si>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</si>
  <si>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</si>
  <si>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</si>
  <si>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</si>
  <si>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</si>
  <si>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</si>
  <si>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</si>
  <si>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</si>
  <si>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</si>
  <si>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</si>
  <si>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</si>
  <si>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</si>
  <si>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</si>
  <si>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</si>
  <si>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</si>
  <si>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</si>
  <si>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</si>
  <si>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</si>
  <si>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</si>
  <si>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</si>
  <si>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</si>
  <si>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</si>
  <si>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</si>
  <si>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</si>
  <si>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</si>
  <si>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</si>
  <si>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</si>
  <si>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</si>
  <si>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</si>
  <si>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</si>
  <si>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</si>
  <si>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</si>
  <si>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</si>
  <si>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</si>
  <si>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</si>
  <si>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</si>
  <si>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</si>
  <si>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</si>
  <si>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</si>
  <si>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</si>
  <si>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</si>
  <si>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</si>
  <si>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</si>
  <si>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</si>
  <si>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</si>
  <si>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</si>
  <si>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</si>
  <si>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</si>
  <si>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</si>
  <si>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</si>
  <si>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</si>
  <si>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</si>
  <si>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</si>
  <si>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</si>
  <si>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</si>
  <si>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</si>
  <si>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</si>
  <si>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</si>
  <si>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</si>
  <si>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</si>
  <si>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</si>
  <si>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</si>
  <si>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</si>
  <si>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</si>
  <si>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</si>
  <si>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</si>
  <si>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</si>
  <si>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</si>
  <si>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</si>
  <si>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</si>
  <si>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</si>
  <si>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</si>
  <si>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</si>
  <si>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</si>
  <si>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</si>
  <si>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</si>
  <si>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</si>
  <si>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</si>
  <si>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</si>
  <si>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</si>
  <si>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</si>
  <si>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</si>
  <si>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</si>
  <si>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</si>
  <si>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</si>
  <si>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</si>
  <si>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</si>
  <si>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</si>
  <si>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</si>
  <si>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</si>
  <si>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</si>
  <si>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</si>
  <si>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</si>
  <si>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</si>
  <si>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</si>
  <si>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</si>
  <si>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</si>
  <si>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</si>
  <si>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</si>
  <si>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</si>
  <si>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</si>
  <si>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</si>
  <si>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</si>
  <si>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</si>
  <si>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</si>
  <si>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</si>
  <si>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</si>
  <si>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</si>
  <si>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</si>
  <si>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</si>
  <si>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</si>
  <si>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</si>
  <si>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</si>
  <si>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</si>
  <si>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</si>
  <si>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</si>
  <si>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</si>
  <si>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</si>
  <si>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</si>
  <si>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</si>
  <si>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</si>
  <si>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</si>
  <si>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</si>
  <si>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</si>
  <si>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</si>
  <si>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</si>
  <si>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</si>
  <si>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</si>
  <si>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</si>
  <si>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</si>
  <si>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</si>
  <si>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</si>
  <si>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</si>
  <si>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</si>
  <si>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</si>
  <si>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</si>
  <si>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</si>
  <si>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</si>
  <si>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</si>
  <si>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</si>
  <si>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</si>
  <si>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</si>
  <si>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</si>
  <si>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</si>
  <si>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</si>
  <si>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</si>
  <si>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Contagem de Subscriber ID</t>
  </si>
  <si>
    <t>Soma de Total Value</t>
  </si>
  <si>
    <t>Contagem de Total Value</t>
  </si>
  <si>
    <t>1)</t>
  </si>
  <si>
    <t>2)</t>
  </si>
  <si>
    <t>3)</t>
  </si>
  <si>
    <t>Proporção de clientes com auto-renovação?</t>
  </si>
  <si>
    <t>Valor por modalidade de subscription?</t>
  </si>
  <si>
    <t>Quantidade de usuário por modalidade de subscription?</t>
  </si>
  <si>
    <t>4)</t>
  </si>
  <si>
    <t>Quanto estamos faturando por tipo de plano?</t>
  </si>
  <si>
    <t>Quanto usuários por tipo de plano?</t>
  </si>
  <si>
    <t>5)</t>
  </si>
  <si>
    <t>Quantidade de faturamento empilhando as assinaturas</t>
  </si>
  <si>
    <t>Valores</t>
  </si>
  <si>
    <t>6)</t>
  </si>
  <si>
    <t xml:space="preserve"> </t>
  </si>
  <si>
    <t xml:space="preserve"> Subscription</t>
  </si>
  <si>
    <t xml:space="preserve"> EA Play Season</t>
  </si>
  <si>
    <t xml:space="preserve"> Minecraft Season</t>
  </si>
  <si>
    <t xml:space="preserve"> Coupon</t>
  </si>
  <si>
    <t xml:space="preserve"> Total</t>
  </si>
  <si>
    <t>#FF4545</t>
  </si>
  <si>
    <t>EA Play</t>
  </si>
  <si>
    <t>Minecraft</t>
  </si>
  <si>
    <t>#65462F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</si>
</sst>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4545"/>
        <bgColor indexed="64"/>
      </patternFill>
    </fill>
    <fill>
      <patternFill patternType="solid">
        <fgColor rgb="FF65462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44" fontId="0" fillId="0" borderId="0" xfId="0" applyNumberFormat="1"/>
    <xf numFmtId="0" fontId="0" fillId="0" borderId="0" xfId="0" applyNumberFormat="1"/>
    <xf numFmtId="44" fontId="0" fillId="0" borderId="0" xfId="2" applyFont="1" applyAlignment="1">
      <alignment horizontal="left"/>
    </xf>
    <xf numFmtId="0" fontId="0" fillId="8" borderId="0" xfId="0" applyFill="1"/>
    <xf numFmtId="0" fontId="0" fillId="9" borderId="0" xfId="0" applyFill="1"/>
    <xf numFmtId="0" fontId="3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sz val="10"/>
        <color theme="1"/>
        <name val="SUGOE UI"/>
      </font>
      <fill>
        <patternFill patternType="none">
          <fgColor auto="1"/>
          <bgColor auto="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xBox" pivot="0" table="0" count="10" xr9:uid="{15EFE1D5-2D19-42C3-936E-5FF20BF12E72}">
      <tableStyleElement type="wholeTable" dxfId="1"/>
      <tableStyleElement type="headerRow" dxfId="0"/>
    </tableStyle>
  </tableStyles>
  <colors>
    <mruColors>
      <color rgb="FF3F8924"/>
      <color rgb="FFAACCA3"/>
      <color rgb="FF4EA72E"/>
      <color rgb="FF196B24"/>
      <color rgb="FFE97132"/>
      <color rgb="FF22C55E"/>
      <color rgb="FF5BF6A8"/>
      <color rgb="FFE0E0E0"/>
      <color rgb="FFFF4545"/>
      <color rgb="FF65462F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xBox">
        <x14:slicerStyle name="xBox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1.xml"/><Relationship Id="rId10" Type="http://schemas.microsoft.com/office/2007/relationships/slicerCache" Target="slicerCaches/slicerCache5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[entrega.xlsx]C̳álculos!td-cont_auto_renovação</c:name>
    <c:fmtId val="0"/>
  </c:pivotSource>
  <c:chart>
    <c:autoTitleDeleted val="1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8923C7C-CD7C-4F8F-A4AA-B5665851FD51}" type="CATEGORYNAME">
                  <a:rPr lang="en-US" sz="10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pPr>
                    <a:defRPr/>
                  </a:pPr>
                  <a:t>[NOME DA CATEGORIA]</a:t>
                </a:fld>
                <a:endParaRPr lang="en-US" b="1" baseline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  <a:p>
                <a:pPr>
                  <a:defRPr/>
                </a:pPr>
                <a:fld id="{A1907044-1986-4BD4-A14D-F4EE662F2534}" type="VALUE">
                  <a:rPr lang="en-US" sz="1000" baseline="0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rgbClr val="E8E6E9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D5C3E1C-4A6C-4C57-828C-7939E9815CE7}" type="CATEGORYNAME">
                  <a:rPr lang="en-US" b="1"/>
                  <a:pPr>
                    <a:defRPr/>
                  </a:pPr>
                  <a:t>[NOME DA CATEGORIA]</a:t>
                </a:fld>
                <a:endParaRPr lang="en-US" b="1" baseline="0"/>
              </a:p>
              <a:p>
                <a:pPr>
                  <a:defRPr/>
                </a:pPr>
                <a:fld id="{FE2033E1-3E7C-4798-9F57-63B6E72340C8}" type="VALUE">
                  <a:rPr lang="en-US" sz="1000" baseline="0">
                    <a:latin typeface="Segoe UI" panose="020B0502040204020203" pitchFamily="34" charset="0"/>
                    <a:cs typeface="Segoe UI" panose="020B0502040204020203" pitchFamily="34" charset="0"/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C̳álculos!$D$4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E8E6E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30-4415-A5C8-86253700C5BB}"/>
              </c:ext>
            </c:extLst>
          </c:dPt>
          <c:dPt>
            <c:idx val="1"/>
            <c:bubble3D val="0"/>
            <c:spPr>
              <a:solidFill>
                <a:srgbClr val="22C55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A30-4415-A5C8-86253700C5BB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D5C3E1C-4A6C-4C57-828C-7939E9815CE7}" type="CATEGORYNAME">
                      <a:rPr lang="en-US" b="1"/>
                      <a:pPr>
                        <a:defRPr/>
                      </a:pPr>
                      <a:t>[NOME DA CATEGORIA]</a:t>
                    </a:fld>
                    <a:endParaRPr lang="en-US" b="1" baseline="0"/>
                  </a:p>
                  <a:p>
                    <a:pPr>
                      <a:defRPr/>
                    </a:pPr>
                    <a:fld id="{FE2033E1-3E7C-4798-9F57-63B6E72340C8}" type="VALUE">
                      <a:rPr lang="en-US" sz="1000" baseline="0">
                        <a:latin typeface="Segoe UI" panose="020B0502040204020203" pitchFamily="34" charset="0"/>
                        <a:cs typeface="Segoe UI" panose="020B0502040204020203" pitchFamily="34" charset="0"/>
                      </a:rPr>
                      <a:pPr>
                        <a:defRPr/>
                      </a:pPr>
                      <a:t>[VALOR]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A30-4415-A5C8-86253700C5B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8923C7C-CD7C-4F8F-A4AA-B5665851FD51}" type="CATEGORYNAME">
                      <a:rPr lang="en-US" sz="1000" b="1">
                        <a:solidFill>
                          <a:schemeClr val="bg1"/>
                        </a:solidFill>
                        <a:latin typeface="Segoe UI" panose="020B0502040204020203" pitchFamily="34" charset="0"/>
                        <a:cs typeface="Segoe UI" panose="020B0502040204020203" pitchFamily="34" charset="0"/>
                      </a:rPr>
                      <a:pPr/>
                      <a:t>[NOME DA CATEGORIA]</a:t>
                    </a:fld>
                    <a:endParaRPr lang="en-US" b="1" baseline="0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endParaRPr>
                  </a:p>
                  <a:p>
                    <a:fld id="{A1907044-1986-4BD4-A14D-F4EE662F2534}" type="VALUE">
                      <a:rPr lang="en-US" sz="1000" baseline="0">
                        <a:solidFill>
                          <a:schemeClr val="bg1"/>
                        </a:solidFill>
                        <a:latin typeface="Segoe UI" panose="020B0502040204020203" pitchFamily="34" charset="0"/>
                        <a:cs typeface="Segoe UI" panose="020B0502040204020203" pitchFamily="34" charset="0"/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BA30-4415-A5C8-86253700C5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C̳álculos!$C$5:$C$7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C̳álculos!$D$5:$D$7</c:f>
              <c:numCache>
                <c:formatCode>General</c:formatCode>
                <c:ptCount val="2"/>
                <c:pt idx="0">
                  <c:v>147</c:v>
                </c:pt>
                <c:pt idx="1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30-4415-A5C8-86253700C5BB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[entrega.xlsx]C̳álculos!td-valor_p_modalidade</c:name>
    <c:fmtId val="0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fld id="{0A6CF217-9AAB-4E02-BD50-67C74EDF93F7}" type="VALUE">
                  <a:rPr lang="en-US" sz="1000" b="1" baseline="0">
                    <a:solidFill>
                      <a:schemeClr val="bg1"/>
                    </a:solidFill>
                    <a:latin typeface="Segoe UI" panose="020B0502040204020203" pitchFamily="34" charset="0"/>
                  </a:rPr>
                  <a:pPr>
                    <a:defRPr sz="1000" baseline="0">
                      <a:latin typeface="Segoe UI" panose="020B0502040204020203" pitchFamily="34" charset="0"/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rgbClr val="AACCA3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fld id="{469D0933-36A7-4A02-8BB2-B1D684A74DB0}" type="VALUE">
                  <a:rPr lang="en-US" sz="1000" b="1" baseline="0">
                    <a:solidFill>
                      <a:schemeClr val="bg1"/>
                    </a:solidFill>
                    <a:latin typeface="Segoe UI" panose="020B0502040204020203" pitchFamily="34" charset="0"/>
                  </a:rPr>
                  <a:pPr>
                    <a:defRPr sz="1000" baseline="0">
                      <a:latin typeface="Segoe UI" panose="020B0502040204020203" pitchFamily="34" charset="0"/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rgbClr val="3F892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fld id="{3ED5BDC4-59C8-488E-84C5-DCF1E46DD266}" type="VALUE">
                  <a:rPr lang="en-US" sz="1000" b="1" baseline="0">
                    <a:solidFill>
                      <a:schemeClr val="bg1"/>
                    </a:solidFill>
                    <a:latin typeface="Segoe UI" panose="020B0502040204020203" pitchFamily="34" charset="0"/>
                  </a:rPr>
                  <a:pPr>
                    <a:defRPr sz="1000" baseline="0">
                      <a:latin typeface="Segoe UI" panose="020B0502040204020203" pitchFamily="34" charset="0"/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F892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8FF-45D1-AF79-A45AFB0BE22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FF-45D1-AF79-A45AFB0BE22B}"/>
              </c:ext>
            </c:extLst>
          </c:dPt>
          <c:dPt>
            <c:idx val="2"/>
            <c:invertIfNegative val="0"/>
            <c:bubble3D val="0"/>
            <c:spPr>
              <a:solidFill>
                <a:srgbClr val="AACCA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8FF-45D1-AF79-A45AFB0BE22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ED5BDC4-59C8-488E-84C5-DCF1E46DD266}" type="VALUE">
                      <a:rPr lang="en-US" sz="1000" b="1" baseline="0">
                        <a:solidFill>
                          <a:schemeClr val="bg1"/>
                        </a:solidFill>
                        <a:latin typeface="Segoe UI" panose="020B0502040204020203" pitchFamily="34" charset="0"/>
                      </a:rPr>
                      <a:pPr/>
                      <a:t>[VALOR]</a:t>
                    </a:fld>
                    <a:endParaRPr lang="pt-BR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08FF-45D1-AF79-A45AFB0BE22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A6CF217-9AAB-4E02-BD50-67C74EDF93F7}" type="VALUE">
                      <a:rPr lang="en-US" sz="1000" b="1" baseline="0">
                        <a:solidFill>
                          <a:schemeClr val="bg1"/>
                        </a:solidFill>
                        <a:latin typeface="Segoe UI" panose="020B0502040204020203" pitchFamily="34" charset="0"/>
                      </a:rPr>
                      <a:pPr/>
                      <a:t>[VALOR]</a:t>
                    </a:fld>
                    <a:endParaRPr lang="pt-BR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8FF-45D1-AF79-A45AFB0BE22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69D0933-36A7-4A02-8BB2-B1D684A74DB0}" type="VALUE">
                      <a:rPr lang="en-US" sz="1000" b="1" baseline="0">
                        <a:solidFill>
                          <a:schemeClr val="bg1"/>
                        </a:solidFill>
                        <a:latin typeface="Segoe UI" panose="020B0502040204020203" pitchFamily="34" charset="0"/>
                      </a:rPr>
                      <a:pPr/>
                      <a:t>[VALOR]</a:t>
                    </a:fld>
                    <a:endParaRPr lang="pt-BR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08FF-45D1-AF79-A45AFB0BE2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C̳álculos!$C$13:$C$16</c:f>
              <c:strCache>
                <c:ptCount val="3"/>
                <c:pt idx="0">
                  <c:v>Annual</c:v>
                </c:pt>
                <c:pt idx="1">
                  <c:v>Quarterly</c:v>
                </c:pt>
                <c:pt idx="2">
                  <c:v>Monthly</c:v>
                </c:pt>
              </c:strCache>
            </c:strRef>
          </c:cat>
          <c:val>
            <c:numRef>
              <c:f>C̳álculos!$D$13:$D$16</c:f>
              <c:numCache>
                <c:formatCode>_("R$"* #,##0.00_);_("R$"* \(#,##0.00\);_("R$"* "-"??_);_(@_)</c:formatCode>
                <c:ptCount val="3"/>
                <c:pt idx="0">
                  <c:v>1754</c:v>
                </c:pt>
                <c:pt idx="1">
                  <c:v>2308</c:v>
                </c:pt>
                <c:pt idx="2">
                  <c:v>3571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F-45D1-AF79-A45AFB0BE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985461992"/>
        <c:axId val="985462352"/>
      </c:barChart>
      <c:catAx>
        <c:axId val="985461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985462352"/>
        <c:crosses val="autoZero"/>
        <c:auto val="1"/>
        <c:lblAlgn val="ctr"/>
        <c:lblOffset val="100"/>
        <c:noMultiLvlLbl val="0"/>
      </c:catAx>
      <c:valAx>
        <c:axId val="98546235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985461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[entrega.xlsx]C̳álculos!td-qtd_p_subsctption</c:name>
    <c:fmtId val="0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6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rgbClr val="3F8924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"/>
          <c:y val="0"/>
          <c:w val="0.9392221015476514"/>
          <c:h val="1"/>
        </c:manualLayout>
      </c:layout>
      <c:doughnutChart>
        <c:varyColors val="1"/>
        <c:ser>
          <c:idx val="0"/>
          <c:order val="0"/>
          <c:tx>
            <c:strRef>
              <c:f>C̳álculos!$D$21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572-4175-8E63-99F76D57DBB3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rgbClr val="3F892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572-4175-8E63-99F76D57DB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C̳álculos!$C$22:$C$25</c:f>
              <c:strCache>
                <c:ptCount val="3"/>
                <c:pt idx="0">
                  <c:v>Monthly</c:v>
                </c:pt>
                <c:pt idx="1">
                  <c:v>Quarterly</c:v>
                </c:pt>
                <c:pt idx="2">
                  <c:v>Annual</c:v>
                </c:pt>
              </c:strCache>
            </c:strRef>
          </c:cat>
          <c:val>
            <c:numRef>
              <c:f>C̳álculos!$D$22:$D$25</c:f>
              <c:numCache>
                <c:formatCode>General</c:formatCode>
                <c:ptCount val="3"/>
                <c:pt idx="0">
                  <c:v>139</c:v>
                </c:pt>
                <c:pt idx="1">
                  <c:v>85</c:v>
                </c:pt>
                <c:pt idx="2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72-4175-8E63-99F76D57D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90"/>
        <c:holeSize val="70"/>
      </c:doughnut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31841813042600442"/>
          <c:y val="0.35416550872317432"/>
          <c:w val="0.31648546335554212"/>
          <c:h val="0.33088466882816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[entrega.xlsx]C̳álculos!td-qtd_p_plan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5560467617525678E-4"/>
          <c:y val="2.9626162469265249E-2"/>
          <c:w val="0.99974439532382475"/>
          <c:h val="0.94366947428140324"/>
        </c:manualLayout>
      </c:layout>
      <c:doughnutChart>
        <c:varyColors val="1"/>
        <c:ser>
          <c:idx val="0"/>
          <c:order val="0"/>
          <c:tx>
            <c:strRef>
              <c:f>C̳álculos!$D$30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C̳álculos!$C$31:$C$34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C̳álculos!$D$31:$D$34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F-4042-A8A0-BE14EF2D8F8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7746329785489665"/>
          <c:y val="0.30439582590648051"/>
          <c:w val="0.49713187630038003"/>
          <c:h val="0.405930781420020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[entrega.xlsx]C̳álculos!td-valor_p_plan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97132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196B2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3807327859652174"/>
          <c:y val="5.0925925925925923E-2"/>
          <c:w val="0.71220101864700891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196B2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1E-4471-829E-65811CCACC51}"/>
              </c:ext>
            </c:extLst>
          </c:dPt>
          <c:dPt>
            <c:idx val="2"/>
            <c:invertIfNegative val="0"/>
            <c:bubble3D val="0"/>
            <c:spPr>
              <a:solidFill>
                <a:srgbClr val="E971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51E-4471-829E-65811CCACC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C̳álculos!$C$40:$C$43</c:f>
              <c:strCache>
                <c:ptCount val="3"/>
                <c:pt idx="0">
                  <c:v>Ultimate</c:v>
                </c:pt>
                <c:pt idx="1">
                  <c:v>Standard</c:v>
                </c:pt>
                <c:pt idx="2">
                  <c:v>Core</c:v>
                </c:pt>
              </c:strCache>
            </c:strRef>
          </c:cat>
          <c:val>
            <c:numRef>
              <c:f>C̳álculos!$D$40:$D$43</c:f>
              <c:numCache>
                <c:formatCode>_("R$"* #,##0.00_);_("R$"* \(#,##0.00\);_("R$"* "-"??_);_(@_)</c:formatCode>
                <c:ptCount val="3"/>
                <c:pt idx="0">
                  <c:v>5388</c:v>
                </c:pt>
                <c:pt idx="1">
                  <c:v>1801</c:v>
                </c:pt>
                <c:pt idx="2">
                  <c:v>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1E-4471-829E-65811CCAC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2943648"/>
        <c:axId val="922949768"/>
      </c:barChart>
      <c:valAx>
        <c:axId val="92294976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922943648"/>
        <c:crossBetween val="between"/>
      </c:valAx>
      <c:catAx>
        <c:axId val="9229436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I UI"/>
                <a:ea typeface="+mn-ea"/>
                <a:cs typeface="+mn-cs"/>
              </a:defRPr>
            </a:pPr>
            <a:endParaRPr lang="pt-BR"/>
          </a:p>
        </c:txPr>
        <c:crossAx val="92294976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[entrega.xlsx]C̳álculos!td-pilha_valor_assinaturas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</c:pivotFmt>
      <c:pivotFmt>
        <c:idx val="2"/>
        <c:spPr>
          <a:solidFill>
            <a:srgbClr val="65462F"/>
          </a:solidFill>
          <a:ln>
            <a:noFill/>
          </a:ln>
          <a:effectLst/>
        </c:spPr>
      </c:pivotFmt>
      <c:pivotFmt>
        <c:idx val="3"/>
        <c:spPr>
          <a:solidFill>
            <a:srgbClr val="FF4545"/>
          </a:solidFill>
          <a:ln>
            <a:noFill/>
          </a:ln>
          <a:effectLst/>
        </c:spPr>
      </c:pivotFmt>
      <c:pivotFmt>
        <c:idx val="4"/>
        <c:spPr>
          <a:solidFill>
            <a:srgbClr val="E0E0E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1775513512195332"/>
          <c:y val="5.6410256410256411E-2"/>
          <c:w val="0.76858133066326617"/>
          <c:h val="0.887179487179487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C17-49CE-97F4-5AA5A3C63329}"/>
              </c:ext>
            </c:extLst>
          </c:dPt>
          <c:dPt>
            <c:idx val="1"/>
            <c:invertIfNegative val="0"/>
            <c:bubble3D val="0"/>
            <c:spPr>
              <a:solidFill>
                <a:srgbClr val="FF454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C17-49CE-97F4-5AA5A3C63329}"/>
              </c:ext>
            </c:extLst>
          </c:dPt>
          <c:dPt>
            <c:idx val="2"/>
            <c:invertIfNegative val="0"/>
            <c:bubble3D val="0"/>
            <c:spPr>
              <a:solidFill>
                <a:srgbClr val="65462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C17-49CE-97F4-5AA5A3C63329}"/>
              </c:ext>
            </c:extLst>
          </c:dPt>
          <c:dPt>
            <c:idx val="3"/>
            <c:invertIfNegative val="0"/>
            <c:bubble3D val="0"/>
            <c:spPr>
              <a:solidFill>
                <a:srgbClr val="E0E0E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C17-49CE-97F4-5AA5A3C63329}"/>
              </c:ext>
            </c:extLst>
          </c:dPt>
          <c:dPt>
            <c:idx val="4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C17-49CE-97F4-5AA5A3C633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C̳álculos!$C$49:$C$53</c:f>
              <c:strCache>
                <c:ptCount val="5"/>
                <c:pt idx="0">
                  <c:v> Subscription</c:v>
                </c:pt>
                <c:pt idx="1">
                  <c:v> EA Play Season</c:v>
                </c:pt>
                <c:pt idx="2">
                  <c:v> Minecraft Season</c:v>
                </c:pt>
                <c:pt idx="3">
                  <c:v> Coupon</c:v>
                </c:pt>
                <c:pt idx="4">
                  <c:v> Total</c:v>
                </c:pt>
              </c:strCache>
            </c:strRef>
          </c:cat>
          <c:val>
            <c:numRef>
              <c:f>C̳álculos!$D$49:$D$53</c:f>
              <c:numCache>
                <c:formatCode>_("R$"* #,##0.00_);_("R$"* \(#,##0.00\);_("R$"* "-"??_);_(@_)</c:formatCode>
                <c:ptCount val="5"/>
                <c:pt idx="0">
                  <c:v>2935</c:v>
                </c:pt>
                <c:pt idx="1">
                  <c:v>2940</c:v>
                </c:pt>
                <c:pt idx="2">
                  <c:v>3880</c:v>
                </c:pt>
                <c:pt idx="3">
                  <c:v>2122</c:v>
                </c:pt>
                <c:pt idx="4">
                  <c:v>7633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7-49CE-97F4-5AA5A3C63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2552376"/>
        <c:axId val="992551296"/>
      </c:barChart>
      <c:catAx>
        <c:axId val="992552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992551296"/>
        <c:crosses val="autoZero"/>
        <c:auto val="1"/>
        <c:lblAlgn val="ctr"/>
        <c:lblOffset val="100"/>
        <c:noMultiLvlLbl val="0"/>
      </c:catAx>
      <c:valAx>
        <c:axId val="99255129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992552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[entrega.xlsx]C̳álculos!td-valor_p_modalidade</c:name>
    <c:fmtId val="7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fld id="{0A6CF217-9AAB-4E02-BD50-67C74EDF93F7}" type="VALUE">
                  <a:rPr lang="en-US" sz="1000" b="1" baseline="0">
                    <a:solidFill>
                      <a:schemeClr val="bg1"/>
                    </a:solidFill>
                    <a:latin typeface="Segoe UI" panose="020B0502040204020203" pitchFamily="34" charset="0"/>
                  </a:rPr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Segoe UI" panose="020B0502040204020203" pitchFamily="34" charset="0"/>
                      <a:ea typeface="+mn-ea"/>
                      <a:cs typeface="+mn-cs"/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rgbClr val="AACCA3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fld id="{469D0933-36A7-4A02-8BB2-B1D684A74DB0}" type="VALUE">
                  <a:rPr lang="en-US" sz="1000" b="1" baseline="0">
                    <a:solidFill>
                      <a:schemeClr val="bg1"/>
                    </a:solidFill>
                    <a:latin typeface="Segoe UI" panose="020B0502040204020203" pitchFamily="34" charset="0"/>
                  </a:rPr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Segoe UI" panose="020B0502040204020203" pitchFamily="34" charset="0"/>
                      <a:ea typeface="+mn-ea"/>
                      <a:cs typeface="+mn-cs"/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rgbClr val="3F892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fld id="{3ED5BDC4-59C8-488E-84C5-DCF1E46DD266}" type="VALUE">
                  <a:rPr lang="en-US" sz="1000" b="1" baseline="0">
                    <a:solidFill>
                      <a:schemeClr val="bg1"/>
                    </a:solidFill>
                    <a:latin typeface="Segoe UI" panose="020B0502040204020203" pitchFamily="34" charset="0"/>
                  </a:rPr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Segoe UI" panose="020B0502040204020203" pitchFamily="34" charset="0"/>
                      <a:ea typeface="+mn-ea"/>
                      <a:cs typeface="+mn-cs"/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3F892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fld id="{3ED5BDC4-59C8-488E-84C5-DCF1E46DD266}" type="VALUE">
                  <a:rPr lang="en-US" sz="1000" b="1" baseline="0">
                    <a:solidFill>
                      <a:schemeClr val="bg1"/>
                    </a:solidFill>
                    <a:latin typeface="Segoe UI" panose="020B0502040204020203" pitchFamily="34" charset="0"/>
                  </a:rPr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Segoe UI" panose="020B0502040204020203" pitchFamily="34" charset="0"/>
                      <a:ea typeface="+mn-ea"/>
                      <a:cs typeface="+mn-cs"/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fld id="{0A6CF217-9AAB-4E02-BD50-67C74EDF93F7}" type="VALUE">
                  <a:rPr lang="en-US" sz="1000" b="1" baseline="0">
                    <a:solidFill>
                      <a:schemeClr val="bg1"/>
                    </a:solidFill>
                    <a:latin typeface="Segoe UI" panose="020B0502040204020203" pitchFamily="34" charset="0"/>
                  </a:rPr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Segoe UI" panose="020B0502040204020203" pitchFamily="34" charset="0"/>
                      <a:ea typeface="+mn-ea"/>
                      <a:cs typeface="+mn-cs"/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solidFill>
            <a:srgbClr val="AACCA3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fld id="{469D0933-36A7-4A02-8BB2-B1D684A74DB0}" type="VALUE">
                  <a:rPr lang="en-US" sz="1000" b="1" baseline="0">
                    <a:solidFill>
                      <a:schemeClr val="bg1"/>
                    </a:solidFill>
                    <a:latin typeface="Segoe UI" panose="020B0502040204020203" pitchFamily="34" charset="0"/>
                  </a:rPr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Segoe UI" panose="020B0502040204020203" pitchFamily="34" charset="0"/>
                      <a:ea typeface="+mn-ea"/>
                      <a:cs typeface="+mn-cs"/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3F892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fld id="{3ED5BDC4-59C8-488E-84C5-DCF1E46DD266}" type="VALUE">
                  <a:rPr lang="en-US" sz="1000" b="1" baseline="0">
                    <a:solidFill>
                      <a:schemeClr val="bg1"/>
                    </a:solidFill>
                    <a:latin typeface="Segoe UI" panose="020B0502040204020203" pitchFamily="34" charset="0"/>
                  </a:rPr>
                  <a:pPr>
                    <a:defRPr sz="1000">
                      <a:latin typeface="Segoe UI" panose="020B0502040204020203" pitchFamily="34" charset="0"/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fld id="{0A6CF217-9AAB-4E02-BD50-67C74EDF93F7}" type="VALUE">
                  <a:rPr lang="en-US" sz="1000" b="1" baseline="0">
                    <a:solidFill>
                      <a:schemeClr val="bg1"/>
                    </a:solidFill>
                    <a:latin typeface="Segoe UI" panose="020B0502040204020203" pitchFamily="34" charset="0"/>
                  </a:rPr>
                  <a:pPr>
                    <a:defRPr sz="1000">
                      <a:latin typeface="Segoe UI" panose="020B0502040204020203" pitchFamily="34" charset="0"/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rgbClr val="AACCA3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fld id="{469D0933-36A7-4A02-8BB2-B1D684A74DB0}" type="VALUE">
                  <a:rPr lang="en-US" sz="1000" b="1" baseline="0">
                    <a:solidFill>
                      <a:schemeClr val="bg1"/>
                    </a:solidFill>
                    <a:latin typeface="Segoe UI" panose="020B0502040204020203" pitchFamily="34" charset="0"/>
                  </a:rPr>
                  <a:pPr>
                    <a:defRPr sz="1000">
                      <a:latin typeface="Segoe UI" panose="020B0502040204020203" pitchFamily="34" charset="0"/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6629636920384952"/>
          <c:y val="1.1544011544011544E-2"/>
          <c:w val="0.83370363079615051"/>
          <c:h val="0.9884559884559884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F892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AF8-4E49-A64D-9C4F7E6C49E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AF8-4E49-A64D-9C4F7E6C49E6}"/>
              </c:ext>
            </c:extLst>
          </c:dPt>
          <c:dPt>
            <c:idx val="2"/>
            <c:invertIfNegative val="0"/>
            <c:bubble3D val="0"/>
            <c:spPr>
              <a:solidFill>
                <a:srgbClr val="AACCA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AF8-4E49-A64D-9C4F7E6C49E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ED5BDC4-59C8-488E-84C5-DCF1E46DD266}" type="VALUE">
                      <a:rPr lang="en-US" sz="1000" b="1" baseline="0">
                        <a:solidFill>
                          <a:schemeClr val="bg1"/>
                        </a:solidFill>
                        <a:latin typeface="Segoe UI" panose="020B0502040204020203" pitchFamily="34" charset="0"/>
                      </a:rPr>
                      <a:pPr/>
                      <a:t>[VALOR]</a:t>
                    </a:fld>
                    <a:endParaRPr lang="pt-BR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AF8-4E49-A64D-9C4F7E6C49E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A6CF217-9AAB-4E02-BD50-67C74EDF93F7}" type="VALUE">
                      <a:rPr lang="en-US" sz="1000" b="1" baseline="0">
                        <a:solidFill>
                          <a:schemeClr val="bg1"/>
                        </a:solidFill>
                        <a:latin typeface="Segoe UI" panose="020B0502040204020203" pitchFamily="34" charset="0"/>
                      </a:rPr>
                      <a:pPr/>
                      <a:t>[VALOR]</a:t>
                    </a:fld>
                    <a:endParaRPr lang="pt-BR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4AF8-4E49-A64D-9C4F7E6C49E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69D0933-36A7-4A02-8BB2-B1D684A74DB0}" type="VALUE">
                      <a:rPr lang="en-US" sz="1000" b="1" baseline="0">
                        <a:solidFill>
                          <a:schemeClr val="bg1"/>
                        </a:solidFill>
                        <a:latin typeface="Segoe UI" panose="020B0502040204020203" pitchFamily="34" charset="0"/>
                      </a:rPr>
                      <a:pPr/>
                      <a:t>[VALOR]</a:t>
                    </a:fld>
                    <a:endParaRPr lang="pt-BR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4AF8-4E49-A64D-9C4F7E6C49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C̳álculos!$C$13:$C$16</c:f>
              <c:strCache>
                <c:ptCount val="3"/>
                <c:pt idx="0">
                  <c:v>Annual</c:v>
                </c:pt>
                <c:pt idx="1">
                  <c:v>Quarterly</c:v>
                </c:pt>
                <c:pt idx="2">
                  <c:v>Monthly</c:v>
                </c:pt>
              </c:strCache>
            </c:strRef>
          </c:cat>
          <c:val>
            <c:numRef>
              <c:f>C̳álculos!$D$13:$D$16</c:f>
              <c:numCache>
                <c:formatCode>_("R$"* #,##0.00_);_("R$"* \(#,##0.00\);_("R$"* "-"??_);_(@_)</c:formatCode>
                <c:ptCount val="3"/>
                <c:pt idx="0">
                  <c:v>1754</c:v>
                </c:pt>
                <c:pt idx="1">
                  <c:v>2308</c:v>
                </c:pt>
                <c:pt idx="2">
                  <c:v>3571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F8-4E49-A64D-9C4F7E6C4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985461992"/>
        <c:axId val="985462352"/>
      </c:barChart>
      <c:catAx>
        <c:axId val="985461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985462352"/>
        <c:crosses val="autoZero"/>
        <c:auto val="1"/>
        <c:lblAlgn val="ctr"/>
        <c:lblOffset val="100"/>
        <c:noMultiLvlLbl val="0"/>
      </c:catAx>
      <c:valAx>
        <c:axId val="98546235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985461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[entrega.xlsx]C̳álculos!td-qtd_p_subsctption</c:name>
    <c:fmtId val="12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6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rgbClr val="3F8924"/>
          </a:solidFill>
          <a:ln>
            <a:noFill/>
          </a:ln>
          <a:effectLst/>
        </c:spP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tint val="6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</c:pivotFmt>
      <c:pivotFmt>
        <c:idx val="6"/>
        <c:spPr>
          <a:solidFill>
            <a:srgbClr val="3F8924"/>
          </a:solidFill>
          <a:ln>
            <a:noFill/>
          </a:ln>
          <a:effectLst/>
        </c:spPr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tint val="6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</c:pivotFmt>
      <c:pivotFmt>
        <c:idx val="10"/>
        <c:spPr>
          <a:solidFill>
            <a:srgbClr val="3F8924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441154264009914"/>
          <c:y val="2.3087998603812367E-2"/>
          <c:w val="1"/>
          <c:h val="0.9750561763358202"/>
        </c:manualLayout>
      </c:layout>
      <c:doughnutChart>
        <c:varyColors val="1"/>
        <c:ser>
          <c:idx val="0"/>
          <c:order val="0"/>
          <c:tx>
            <c:strRef>
              <c:f>C̳álculos!$D$21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B7B-4E7E-AA2F-F610D0678191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B7B-4E7E-AA2F-F610D0678191}"/>
              </c:ext>
            </c:extLst>
          </c:dPt>
          <c:dPt>
            <c:idx val="2"/>
            <c:bubble3D val="0"/>
            <c:spPr>
              <a:solidFill>
                <a:srgbClr val="3F892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B7B-4E7E-AA2F-F610D06781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C̳álculos!$C$22:$C$25</c:f>
              <c:strCache>
                <c:ptCount val="3"/>
                <c:pt idx="0">
                  <c:v>Monthly</c:v>
                </c:pt>
                <c:pt idx="1">
                  <c:v>Quarterly</c:v>
                </c:pt>
                <c:pt idx="2">
                  <c:v>Annual</c:v>
                </c:pt>
              </c:strCache>
            </c:strRef>
          </c:cat>
          <c:val>
            <c:numRef>
              <c:f>C̳álculos!$D$22:$D$25</c:f>
              <c:numCache>
                <c:formatCode>General</c:formatCode>
                <c:ptCount val="3"/>
                <c:pt idx="0">
                  <c:v>139</c:v>
                </c:pt>
                <c:pt idx="1">
                  <c:v>85</c:v>
                </c:pt>
                <c:pt idx="2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7B-4E7E-AA2F-F610D0678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9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[entrega.xlsx]C̳álculos!td-qtd_p_plan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2.5560467617525678E-4"/>
          <c:y val="2.9626162469265249E-2"/>
          <c:w val="0.99974439532382475"/>
          <c:h val="0.94366947428140324"/>
        </c:manualLayout>
      </c:layout>
      <c:doughnutChart>
        <c:varyColors val="1"/>
        <c:ser>
          <c:idx val="0"/>
          <c:order val="0"/>
          <c:tx>
            <c:strRef>
              <c:f>C̳álculos!$D$30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44-424B-B52D-1CFB5B8BB1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44-424B-B52D-1CFB5B8BB1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944-424B-B52D-1CFB5B8BB1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C̳álculos!$C$31:$C$34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C̳álculos!$D$31:$D$34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44-424B-B52D-1CFB5B8BB1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[entrega.xlsx]C̳álculos!td-valor_p_plan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97132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196B24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96B24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E97132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196B24"/>
          </a:solidFill>
          <a:ln w="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E97132"/>
          </a:solidFill>
          <a:ln w="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fld id="{4BBFA710-9C00-4FA5-86F6-A2A7ECF0FAEA}" type="VALUE">
                  <a:rPr lang="en-US">
                    <a:solidFill>
                      <a:sysClr val="windowText" lastClr="000000"/>
                    </a:solidFill>
                  </a:rPr>
                  <a:pPr>
                    <a:defRPr sz="1000" b="1">
                      <a:solidFill>
                        <a:schemeClr val="bg1"/>
                      </a:solidFill>
                      <a:latin typeface="Segoe UI" panose="020B0502040204020203" pitchFamily="34" charset="0"/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 w="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6119470615306034"/>
          <c:y val="0"/>
          <c:w val="0.72854398980474255"/>
          <c:h val="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0">
              <a:solidFill>
                <a:schemeClr val="lt1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196B24"/>
              </a:solidFill>
              <a:ln w="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B2-489E-A748-E24F55C0835C}"/>
              </c:ext>
            </c:extLst>
          </c:dPt>
          <c:dPt>
            <c:idx val="2"/>
            <c:invertIfNegative val="0"/>
            <c:bubble3D val="0"/>
            <c:spPr>
              <a:solidFill>
                <a:srgbClr val="E97132"/>
              </a:solidFill>
              <a:ln w="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B2-489E-A748-E24F55C0835C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fld id="{4BBFA710-9C00-4FA5-86F6-A2A7ECF0FAEA}" type="VALU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2B2-489E-A748-E24F55C083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C̳álculos!$C$40:$C$43</c:f>
              <c:strCache>
                <c:ptCount val="3"/>
                <c:pt idx="0">
                  <c:v>Ultimate</c:v>
                </c:pt>
                <c:pt idx="1">
                  <c:v>Standard</c:v>
                </c:pt>
                <c:pt idx="2">
                  <c:v>Core</c:v>
                </c:pt>
              </c:strCache>
            </c:strRef>
          </c:cat>
          <c:val>
            <c:numRef>
              <c:f>C̳álculos!$D$40:$D$43</c:f>
              <c:numCache>
                <c:formatCode>_("R$"* #,##0.00_);_("R$"* \(#,##0.00\);_("R$"* "-"??_);_(@_)</c:formatCode>
                <c:ptCount val="3"/>
                <c:pt idx="0">
                  <c:v>5388</c:v>
                </c:pt>
                <c:pt idx="1">
                  <c:v>1801</c:v>
                </c:pt>
                <c:pt idx="2">
                  <c:v>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B2-489E-A748-E24F55C08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922943648"/>
        <c:axId val="922949768"/>
      </c:barChart>
      <c:valAx>
        <c:axId val="92294976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922943648"/>
        <c:crosses val="autoZero"/>
        <c:crossBetween val="between"/>
      </c:valAx>
      <c:catAx>
        <c:axId val="9229436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I UI"/>
                <a:ea typeface="+mn-ea"/>
                <a:cs typeface="+mn-cs"/>
              </a:defRPr>
            </a:pPr>
            <a:endParaRPr lang="pt-BR"/>
          </a:p>
        </c:txPr>
        <c:crossAx val="9229497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[entrega.xlsx]C̳álculos!td-pilha_valor_assinaturas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</c:pivotFmt>
      <c:pivotFmt>
        <c:idx val="2"/>
        <c:spPr>
          <a:solidFill>
            <a:srgbClr val="65462F"/>
          </a:solidFill>
          <a:ln>
            <a:noFill/>
          </a:ln>
          <a:effectLst/>
        </c:spPr>
      </c:pivotFmt>
      <c:pivotFmt>
        <c:idx val="3"/>
        <c:spPr>
          <a:solidFill>
            <a:srgbClr val="FF4545"/>
          </a:solidFill>
          <a:ln>
            <a:noFill/>
          </a:ln>
          <a:effectLst/>
        </c:spPr>
      </c:pivotFmt>
      <c:pivotFmt>
        <c:idx val="4"/>
        <c:spPr>
          <a:solidFill>
            <a:srgbClr val="E0E0E0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2C55E"/>
          </a:solidFill>
          <a:ln>
            <a:noFill/>
          </a:ln>
          <a:effectLst/>
        </c:spPr>
      </c:pivotFmt>
      <c:pivotFmt>
        <c:idx val="7"/>
        <c:spPr>
          <a:solidFill>
            <a:srgbClr val="FF4545"/>
          </a:solidFill>
          <a:ln>
            <a:noFill/>
          </a:ln>
          <a:effectLst/>
        </c:spPr>
      </c:pivotFmt>
      <c:pivotFmt>
        <c:idx val="8"/>
        <c:spPr>
          <a:solidFill>
            <a:srgbClr val="65462F"/>
          </a:solidFill>
          <a:ln>
            <a:noFill/>
          </a:ln>
          <a:effectLst/>
        </c:spPr>
      </c:pivotFmt>
      <c:pivotFmt>
        <c:idx val="9"/>
        <c:spPr>
          <a:solidFill>
            <a:srgbClr val="E0E0E0"/>
          </a:solidFill>
          <a:ln>
            <a:noFill/>
          </a:ln>
          <a:effectLst/>
        </c:spPr>
      </c:pivotFmt>
      <c:pivotFmt>
        <c:idx val="10"/>
        <c:spPr>
          <a:solidFill>
            <a:srgbClr val="22C55E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22C55E"/>
          </a:solidFill>
          <a:ln>
            <a:noFill/>
          </a:ln>
          <a:effectLst/>
        </c:spPr>
      </c:pivotFmt>
      <c:pivotFmt>
        <c:idx val="13"/>
        <c:spPr>
          <a:solidFill>
            <a:srgbClr val="FF4545"/>
          </a:solidFill>
          <a:ln>
            <a:noFill/>
          </a:ln>
          <a:effectLst/>
        </c:spPr>
      </c:pivotFmt>
      <c:pivotFmt>
        <c:idx val="14"/>
        <c:spPr>
          <a:solidFill>
            <a:srgbClr val="65462F"/>
          </a:solidFill>
          <a:ln>
            <a:noFill/>
          </a:ln>
          <a:effectLst/>
        </c:spPr>
      </c:pivotFmt>
      <c:pivotFmt>
        <c:idx val="15"/>
        <c:spPr>
          <a:solidFill>
            <a:srgbClr val="E0E0E0"/>
          </a:solidFill>
          <a:ln>
            <a:noFill/>
          </a:ln>
          <a:effectLst/>
        </c:spPr>
      </c:pivotFmt>
      <c:pivotFmt>
        <c:idx val="16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433817942890412"/>
          <c:y val="5.6410256410256411E-2"/>
          <c:w val="0.77465440771999305"/>
          <c:h val="0.887179487179487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08D-4EDE-88D7-1334735454FA}"/>
              </c:ext>
            </c:extLst>
          </c:dPt>
          <c:dPt>
            <c:idx val="1"/>
            <c:invertIfNegative val="0"/>
            <c:bubble3D val="0"/>
            <c:spPr>
              <a:solidFill>
                <a:srgbClr val="FF454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08D-4EDE-88D7-1334735454FA}"/>
              </c:ext>
            </c:extLst>
          </c:dPt>
          <c:dPt>
            <c:idx val="2"/>
            <c:invertIfNegative val="0"/>
            <c:bubble3D val="0"/>
            <c:spPr>
              <a:solidFill>
                <a:srgbClr val="65462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08D-4EDE-88D7-1334735454FA}"/>
              </c:ext>
            </c:extLst>
          </c:dPt>
          <c:dPt>
            <c:idx val="3"/>
            <c:invertIfNegative val="0"/>
            <c:bubble3D val="0"/>
            <c:spPr>
              <a:solidFill>
                <a:srgbClr val="E0E0E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08D-4EDE-88D7-1334735454FA}"/>
              </c:ext>
            </c:extLst>
          </c:dPt>
          <c:dPt>
            <c:idx val="4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08D-4EDE-88D7-1334735454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C̳álculos!$C$49:$C$53</c:f>
              <c:strCache>
                <c:ptCount val="5"/>
                <c:pt idx="0">
                  <c:v> Subscription</c:v>
                </c:pt>
                <c:pt idx="1">
                  <c:v> EA Play Season</c:v>
                </c:pt>
                <c:pt idx="2">
                  <c:v> Minecraft Season</c:v>
                </c:pt>
                <c:pt idx="3">
                  <c:v> Coupon</c:v>
                </c:pt>
                <c:pt idx="4">
                  <c:v> Total</c:v>
                </c:pt>
              </c:strCache>
            </c:strRef>
          </c:cat>
          <c:val>
            <c:numRef>
              <c:f>C̳álculos!$D$49:$D$53</c:f>
              <c:numCache>
                <c:formatCode>_("R$"* #,##0.00_);_("R$"* \(#,##0.00\);_("R$"* "-"??_);_(@_)</c:formatCode>
                <c:ptCount val="5"/>
                <c:pt idx="0">
                  <c:v>2935</c:v>
                </c:pt>
                <c:pt idx="1">
                  <c:v>2940</c:v>
                </c:pt>
                <c:pt idx="2">
                  <c:v>3880</c:v>
                </c:pt>
                <c:pt idx="3">
                  <c:v>2122</c:v>
                </c:pt>
                <c:pt idx="4">
                  <c:v>7633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08D-4EDE-88D7-133473545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2552376"/>
        <c:axId val="992551296"/>
      </c:barChart>
      <c:catAx>
        <c:axId val="992552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992551296"/>
        <c:crosses val="autoZero"/>
        <c:auto val="1"/>
        <c:lblAlgn val="ctr"/>
        <c:lblOffset val="100"/>
        <c:noMultiLvlLbl val="0"/>
      </c:catAx>
      <c:valAx>
        <c:axId val="99255129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992552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[entrega.xlsx]C̳álculos!td-cont_auto_renovação</c:name>
    <c:fmtId val="9"/>
  </c:pivotSource>
  <c:chart>
    <c:autoTitleDeleted val="1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8923C7C-CD7C-4F8F-A4AA-B5665851FD51}" type="CATEGORYNAME">
                  <a:rPr lang="en-US" sz="10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[NOME DA CATEGORIA]</a:t>
                </a:fld>
                <a:endParaRPr lang="en-US" b="1" baseline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1907044-1986-4BD4-A14D-F4EE662F2534}" type="VALUE">
                  <a:rPr lang="en-US" sz="1000" baseline="0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rgbClr val="E8E6E9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D5C3E1C-4A6C-4C57-828C-7939E9815CE7}" type="CATEGORYNAME">
                  <a:rPr lang="en-US" b="1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[NOME DA CATEGORIA]</a:t>
                </a:fld>
                <a:endParaRPr lang="en-US" b="1" baseline="0"/>
              </a:p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E2033E1-3E7C-4798-9F57-63B6E72340C8}" type="VALUE">
                  <a:rPr lang="en-US" sz="1000" baseline="0">
                    <a:latin typeface="Segoe UI" panose="020B0502040204020203" pitchFamily="34" charset="0"/>
                    <a:cs typeface="Segoe UI" panose="020B0502040204020203" pitchFamily="34" charset="0"/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8E6E9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D5C3E1C-4A6C-4C57-828C-7939E9815CE7}" type="CATEGORYNAME">
                  <a:rPr lang="en-US" b="1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[NOME DA CATEGORIA]</a:t>
                </a:fld>
                <a:endParaRPr lang="en-US" b="1" baseline="0"/>
              </a:p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E2033E1-3E7C-4798-9F57-63B6E72340C8}" type="VALUE">
                  <a:rPr lang="en-US" sz="1000" baseline="0">
                    <a:latin typeface="Segoe UI" panose="020B0502040204020203" pitchFamily="34" charset="0"/>
                    <a:cs typeface="Segoe UI" panose="020B0502040204020203" pitchFamily="34" charset="0"/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5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8923C7C-CD7C-4F8F-A4AA-B5665851FD51}" type="CATEGORYNAME">
                  <a:rPr lang="en-US" sz="10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[NOME DA CATEGORIA]</a:t>
                </a:fld>
                <a:endParaRPr lang="en-US" b="1" baseline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1907044-1986-4BD4-A14D-F4EE662F2534}" type="VALUE">
                  <a:rPr lang="en-US" sz="1000" baseline="0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8E6E9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D5C3E1C-4A6C-4C57-828C-7939E9815CE7}" type="CATEGORYNAME">
                  <a:rPr lang="en-US" b="1"/>
                  <a:pPr>
                    <a:defRPr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defRPr>
                  </a:pPr>
                  <a:t>[NOME DA CATEGORIA]</a:t>
                </a:fld>
                <a:endParaRPr lang="en-US" b="1" baseline="0"/>
              </a:p>
              <a:p>
                <a:pPr>
                  <a:defRPr>
                    <a:solidFill>
                      <a:schemeClr val="tx1">
                        <a:lumMod val="75000"/>
                        <a:lumOff val="25000"/>
                      </a:schemeClr>
                    </a:solidFill>
                  </a:defRPr>
                </a:pPr>
                <a:fld id="{FE2033E1-3E7C-4798-9F57-63B6E72340C8}" type="VALUE">
                  <a:rPr lang="en-US" sz="1000" baseline="0">
                    <a:latin typeface="Segoe UI" panose="020B0502040204020203" pitchFamily="34" charset="0"/>
                    <a:cs typeface="Segoe UI" panose="020B0502040204020203" pitchFamily="34" charset="0"/>
                  </a:rPr>
                  <a:pPr>
                    <a:defRPr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8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8923C7C-CD7C-4F8F-A4AA-B5665851FD51}" type="CATEGORYNAME">
                  <a:rPr lang="en-US" sz="10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pPr>
                    <a:defRPr/>
                  </a:pPr>
                  <a:t>[NOME DA CATEGORIA]</a:t>
                </a:fld>
                <a:endParaRPr lang="en-US" b="1" baseline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  <a:p>
                <a:pPr>
                  <a:defRPr/>
                </a:pPr>
                <a:fld id="{A1907044-1986-4BD4-A14D-F4EE662F2534}" type="VALUE">
                  <a:rPr lang="en-US" sz="1000" baseline="0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6.4888197988127019E-2"/>
          <c:y val="3.7172817852744719E-2"/>
          <c:w val="0.83825356517312233"/>
          <c:h val="1"/>
        </c:manualLayout>
      </c:layout>
      <c:doughnutChart>
        <c:varyColors val="1"/>
        <c:ser>
          <c:idx val="0"/>
          <c:order val="0"/>
          <c:tx>
            <c:strRef>
              <c:f>C̳álculos!$D$4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E8E6E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1D-4207-BA66-32F7E33B3A9C}"/>
              </c:ext>
            </c:extLst>
          </c:dPt>
          <c:dPt>
            <c:idx val="1"/>
            <c:bubble3D val="0"/>
            <c:spPr>
              <a:solidFill>
                <a:srgbClr val="22C55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1D-4207-BA66-32F7E33B3A9C}"/>
              </c:ext>
            </c:extLst>
          </c:dPt>
          <c:dLbls>
            <c:dLbl>
              <c:idx val="0"/>
              <c:tx>
                <c:rich>
                  <a:bodyPr rot="0" spcFirstLastPara="1" vertOverflow="ellipsis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D5C3E1C-4A6C-4C57-828C-7939E9815CE7}" type="CATEGORYNAME">
                      <a:rPr lang="en-US" b="1"/>
                      <a:pPr>
                        <a:defRPr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</a:defRPr>
                      </a:pPr>
                      <a:t>[NOME DA CATEGORIA]</a:t>
                    </a:fld>
                    <a:endParaRPr lang="en-US" b="1" baseline="0"/>
                  </a:p>
                  <a:p>
                    <a:pPr>
                      <a:defRPr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</a:defRPr>
                    </a:pPr>
                    <a:fld id="{FE2033E1-3E7C-4798-9F57-63B6E72340C8}" type="VALUE">
                      <a:rPr lang="en-US" sz="1000" baseline="0">
                        <a:latin typeface="Segoe UI" panose="020B0502040204020203" pitchFamily="34" charset="0"/>
                        <a:cs typeface="Segoe UI" panose="020B0502040204020203" pitchFamily="34" charset="0"/>
                      </a:rPr>
                      <a:pPr>
                        <a:defRPr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</a:defRPr>
                      </a:pPr>
                      <a:t>[VALOR]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D1D-4207-BA66-32F7E33B3A9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8923C7C-CD7C-4F8F-A4AA-B5665851FD51}" type="CATEGORYNAME">
                      <a:rPr lang="en-US" sz="1000" b="1">
                        <a:solidFill>
                          <a:schemeClr val="bg1"/>
                        </a:solidFill>
                        <a:latin typeface="Segoe UI" panose="020B0502040204020203" pitchFamily="34" charset="0"/>
                        <a:cs typeface="Segoe UI" panose="020B0502040204020203" pitchFamily="34" charset="0"/>
                      </a:rPr>
                      <a:pPr/>
                      <a:t>[NOME DA CATEGORIA]</a:t>
                    </a:fld>
                    <a:endParaRPr lang="en-US" b="1" baseline="0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endParaRPr>
                  </a:p>
                  <a:p>
                    <a:fld id="{A1907044-1986-4BD4-A14D-F4EE662F2534}" type="VALUE">
                      <a:rPr lang="en-US" sz="1000" baseline="0">
                        <a:solidFill>
                          <a:schemeClr val="bg1"/>
                        </a:solidFill>
                        <a:latin typeface="Segoe UI" panose="020B0502040204020203" pitchFamily="34" charset="0"/>
                        <a:cs typeface="Segoe UI" panose="020B0502040204020203" pitchFamily="34" charset="0"/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D1D-4207-BA66-32F7E33B3A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C̳álculos!$C$5:$C$7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C̳álculos!$D$5:$D$7</c:f>
              <c:numCache>
                <c:formatCode>General</c:formatCode>
                <c:ptCount val="2"/>
                <c:pt idx="0">
                  <c:v>147</c:v>
                </c:pt>
                <c:pt idx="1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1D-4207-BA66-32F7E33B3A9C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chart" Target="../charts/chart9.xml"/><Relationship Id="rId7" Type="http://schemas.openxmlformats.org/officeDocument/2006/relationships/image" Target="../media/image8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image" Target="../media/image7.png"/><Relationship Id="rId11" Type="http://schemas.openxmlformats.org/officeDocument/2006/relationships/image" Target="../media/image1.png"/><Relationship Id="rId5" Type="http://schemas.openxmlformats.org/officeDocument/2006/relationships/chart" Target="../charts/chart11.xml"/><Relationship Id="rId10" Type="http://schemas.openxmlformats.org/officeDocument/2006/relationships/chart" Target="../charts/chart12.xml"/><Relationship Id="rId4" Type="http://schemas.openxmlformats.org/officeDocument/2006/relationships/chart" Target="../charts/chart10.xml"/><Relationship Id="rId9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absolute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 editAs="absolute"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>
          <a:spLocks noChangeAspect="1"/>
        </xdr:cNvSpPr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>
          <a:spLocks noChangeAspect="1"/>
        </xdr:cNvSpPr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</xdr:col>
      <xdr:colOff>628650</xdr:colOff>
      <xdr:row>1</xdr:row>
      <xdr:rowOff>123825</xdr:rowOff>
    </xdr:from>
    <xdr:to>
      <xdr:col>8</xdr:col>
      <xdr:colOff>1743075</xdr:colOff>
      <xdr:row>7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Auto Renewal">
              <a:extLst>
                <a:ext uri="{FF2B5EF4-FFF2-40B4-BE49-F238E27FC236}">
                  <a16:creationId xmlns:a16="http://schemas.microsoft.com/office/drawing/2014/main" id="{6B98B0FF-24FF-8D38-4C03-6AE1EE03F3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15150" y="314325"/>
              <a:ext cx="1828800" cy="1066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466725</xdr:colOff>
      <xdr:row>28</xdr:row>
      <xdr:rowOff>0</xdr:rowOff>
    </xdr:from>
    <xdr:to>
      <xdr:col>6</xdr:col>
      <xdr:colOff>276225</xdr:colOff>
      <xdr:row>34</xdr:row>
      <xdr:rowOff>57149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Plan">
              <a:extLst>
                <a:ext uri="{FF2B5EF4-FFF2-40B4-BE49-F238E27FC236}">
                  <a16:creationId xmlns:a16="http://schemas.microsoft.com/office/drawing/2014/main" id="{1ADA5C65-3106-BF4C-C53E-AD4D456DFF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90975" y="5334000"/>
              <a:ext cx="1285875" cy="12001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1085850</xdr:colOff>
      <xdr:row>32</xdr:row>
      <xdr:rowOff>142875</xdr:rowOff>
    </xdr:from>
    <xdr:to>
      <xdr:col>10</xdr:col>
      <xdr:colOff>400050</xdr:colOff>
      <xdr:row>38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EA Play Season Pass">
              <a:extLst>
                <a:ext uri="{FF2B5EF4-FFF2-40B4-BE49-F238E27FC236}">
                  <a16:creationId xmlns:a16="http://schemas.microsoft.com/office/drawing/2014/main" id="{F4313B24-6D38-8DE5-E1DB-CBAEE376EA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A Play Season Pas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01325" y="6238875"/>
              <a:ext cx="1828800" cy="1028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1123950</xdr:colOff>
      <xdr:row>38</xdr:row>
      <xdr:rowOff>9525</xdr:rowOff>
    </xdr:from>
    <xdr:to>
      <xdr:col>10</xdr:col>
      <xdr:colOff>438150</xdr:colOff>
      <xdr:row>43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Minecraft Season Pass">
              <a:extLst>
                <a:ext uri="{FF2B5EF4-FFF2-40B4-BE49-F238E27FC236}">
                  <a16:creationId xmlns:a16="http://schemas.microsoft.com/office/drawing/2014/main" id="{6A906853-9E46-28EC-67DD-B65F0F7830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inecraft Season Pas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7248525"/>
              <a:ext cx="1828800" cy="1038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428625</xdr:colOff>
      <xdr:row>0</xdr:row>
      <xdr:rowOff>0</xdr:rowOff>
    </xdr:from>
    <xdr:to>
      <xdr:col>6</xdr:col>
      <xdr:colOff>914400</xdr:colOff>
      <xdr:row>10</xdr:row>
      <xdr:rowOff>104775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947A92B-6624-9815-D9B9-F8D7B7EA5C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6</xdr:col>
      <xdr:colOff>1204912</xdr:colOff>
      <xdr:row>7</xdr:row>
      <xdr:rowOff>161925</xdr:rowOff>
    </xdr:from>
    <xdr:to>
      <xdr:col>9</xdr:col>
      <xdr:colOff>1262062</xdr:colOff>
      <xdr:row>19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82A0569-78A8-624A-FF72-ADA2C151BB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5</xdr:col>
      <xdr:colOff>762000</xdr:colOff>
      <xdr:row>10</xdr:row>
      <xdr:rowOff>180975</xdr:rowOff>
    </xdr:from>
    <xdr:to>
      <xdr:col>7</xdr:col>
      <xdr:colOff>0</xdr:colOff>
      <xdr:row>17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Subscription Type 2">
              <a:extLst>
                <a:ext uri="{FF2B5EF4-FFF2-40B4-BE49-F238E27FC236}">
                  <a16:creationId xmlns:a16="http://schemas.microsoft.com/office/drawing/2014/main" id="{BFF79197-6D17-442C-B3CE-6E9918AF8B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86250" y="2085975"/>
              <a:ext cx="2000250" cy="1238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771525</xdr:colOff>
      <xdr:row>18</xdr:row>
      <xdr:rowOff>19050</xdr:rowOff>
    </xdr:from>
    <xdr:to>
      <xdr:col>6</xdr:col>
      <xdr:colOff>1276350</xdr:colOff>
      <xdr:row>28</xdr:row>
      <xdr:rowOff>57150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074978C-C3A0-5E6D-4046-993419312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8</xdr:col>
      <xdr:colOff>1052513</xdr:colOff>
      <xdr:row>25</xdr:row>
      <xdr:rowOff>66676</xdr:rowOff>
    </xdr:from>
    <xdr:to>
      <xdr:col>9</xdr:col>
      <xdr:colOff>390525</xdr:colOff>
      <xdr:row>35</xdr:row>
      <xdr:rowOff>9525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CFA19060-E526-2059-B77A-19D7C0DC8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5</xdr:col>
      <xdr:colOff>252411</xdr:colOff>
      <xdr:row>35</xdr:row>
      <xdr:rowOff>66676</xdr:rowOff>
    </xdr:from>
    <xdr:to>
      <xdr:col>8</xdr:col>
      <xdr:colOff>1438275</xdr:colOff>
      <xdr:row>43</xdr:row>
      <xdr:rowOff>142876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AC8A778F-E666-C39D-E7E8-0F31A6B00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5</xdr:col>
      <xdr:colOff>871537</xdr:colOff>
      <xdr:row>45</xdr:row>
      <xdr:rowOff>28575</xdr:rowOff>
    </xdr:from>
    <xdr:to>
      <xdr:col>9</xdr:col>
      <xdr:colOff>542925</xdr:colOff>
      <xdr:row>58</xdr:row>
      <xdr:rowOff>28575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722217F3-BD6E-3D78-417C-79E175A5B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0</xdr:row>
      <xdr:rowOff>161925</xdr:rowOff>
    </xdr:from>
    <xdr:to>
      <xdr:col>18</xdr:col>
      <xdr:colOff>247650</xdr:colOff>
      <xdr:row>12</xdr:row>
      <xdr:rowOff>0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B14AB790-09E9-DBA3-2C2C-3FB378E9ECA8}"/>
            </a:ext>
          </a:extLst>
        </xdr:cNvPr>
        <xdr:cNvGrpSpPr/>
      </xdr:nvGrpSpPr>
      <xdr:grpSpPr>
        <a:xfrm>
          <a:off x="2036476" y="161925"/>
          <a:ext cx="9172731" cy="2086600"/>
          <a:chOff x="2286000" y="257175"/>
          <a:chExt cx="9182100" cy="2124075"/>
        </a:xfrm>
      </xdr:grpSpPr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DE49BE7E-9296-A5D1-845D-8BBBB0537EB3}"/>
              </a:ext>
            </a:extLst>
          </xdr:cNvPr>
          <xdr:cNvSpPr/>
        </xdr:nvSpPr>
        <xdr:spPr>
          <a:xfrm>
            <a:off x="2286000" y="257175"/>
            <a:ext cx="9182100" cy="2124075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9" name="Gráfico 8">
            <a:extLst>
              <a:ext uri="{FF2B5EF4-FFF2-40B4-BE49-F238E27FC236}">
                <a16:creationId xmlns:a16="http://schemas.microsoft.com/office/drawing/2014/main" id="{AFC8F380-7C65-4190-B428-884BEB4FF319}"/>
              </a:ext>
            </a:extLst>
          </xdr:cNvPr>
          <xdr:cNvGraphicFramePr>
            <a:graphicFrameLocks noChangeAspect="1"/>
          </xdr:cNvGraphicFramePr>
        </xdr:nvGraphicFramePr>
        <xdr:xfrm>
          <a:off x="6824662" y="419099"/>
          <a:ext cx="4572000" cy="177165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10" name="Subscription Type 4">
                <a:extLst>
                  <a:ext uri="{FF2B5EF4-FFF2-40B4-BE49-F238E27FC236}">
                    <a16:creationId xmlns:a16="http://schemas.microsoft.com/office/drawing/2014/main" id="{D62D9E21-C6FA-48F2-9188-B2C505332BCF}"/>
                  </a:ext>
                </a:extLst>
              </xdr:cNvPr>
              <xdr:cNvGraphicFramePr>
                <a:graphicFrameLocks noChangeAspect="1"/>
              </xdr:cNvGraphicFramePr>
            </xdr:nvGraphicFramePr>
            <xdr:xfrm>
              <a:off x="2638425" y="685799"/>
              <a:ext cx="2000250" cy="1238250"/>
            </xdr:xfrm>
            <a:graphic>
              <a:graphicData uri="http://schemas.microsoft.com/office/drawing/2010/slicer">
                <sle:slicer xmlns:sle="http://schemas.microsoft.com/office/drawing/2010/slicer" name="Subscription Type 4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388541" y="582987"/>
                <a:ext cx="1998209" cy="121640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xdr:graphicFrame macro="">
        <xdr:nvGraphicFramePr>
          <xdr:cNvPr id="11" name="Gráfico 10">
            <a:extLst>
              <a:ext uri="{FF2B5EF4-FFF2-40B4-BE49-F238E27FC236}">
                <a16:creationId xmlns:a16="http://schemas.microsoft.com/office/drawing/2014/main" id="{1D9D9C1C-3D4A-4C2D-BEE2-6D46B5B08818}"/>
              </a:ext>
            </a:extLst>
          </xdr:cNvPr>
          <xdr:cNvGraphicFramePr>
            <a:graphicFrameLocks/>
          </xdr:cNvGraphicFramePr>
        </xdr:nvGraphicFramePr>
        <xdr:xfrm>
          <a:off x="4848225" y="479820"/>
          <a:ext cx="1952625" cy="165020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3</xdr:col>
      <xdr:colOff>200025</xdr:colOff>
      <xdr:row>12</xdr:row>
      <xdr:rowOff>161925</xdr:rowOff>
    </xdr:from>
    <xdr:to>
      <xdr:col>18</xdr:col>
      <xdr:colOff>552450</xdr:colOff>
      <xdr:row>24</xdr:row>
      <xdr:rowOff>19050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D7D25F93-3050-534C-3FCB-F279E8F01ABD}"/>
            </a:ext>
          </a:extLst>
        </xdr:cNvPr>
        <xdr:cNvGrpSpPr/>
      </xdr:nvGrpSpPr>
      <xdr:grpSpPr>
        <a:xfrm>
          <a:off x="2026951" y="2410450"/>
          <a:ext cx="9487056" cy="2105649"/>
          <a:chOff x="2028825" y="2447925"/>
          <a:chExt cx="9496425" cy="2143125"/>
        </a:xfrm>
      </xdr:grpSpPr>
      <xdr:sp macro="" textlink="">
        <xdr:nvSpPr>
          <xdr:cNvPr id="24" name="Retângulo: Cantos Arredondados 23">
            <a:extLst>
              <a:ext uri="{FF2B5EF4-FFF2-40B4-BE49-F238E27FC236}">
                <a16:creationId xmlns:a16="http://schemas.microsoft.com/office/drawing/2014/main" id="{E414F59F-40D8-4650-B924-8F78044DADC2}"/>
              </a:ext>
            </a:extLst>
          </xdr:cNvPr>
          <xdr:cNvSpPr/>
        </xdr:nvSpPr>
        <xdr:spPr>
          <a:xfrm>
            <a:off x="2028825" y="2447925"/>
            <a:ext cx="9210675" cy="2143125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14" name="Plan 1">
                <a:extLst>
                  <a:ext uri="{FF2B5EF4-FFF2-40B4-BE49-F238E27FC236}">
                    <a16:creationId xmlns:a16="http://schemas.microsoft.com/office/drawing/2014/main" id="{42311A6A-DB5F-4D5C-81D2-DF1818454018}"/>
                  </a:ext>
                </a:extLst>
              </xdr:cNvPr>
              <xdr:cNvGraphicFramePr/>
            </xdr:nvGraphicFramePr>
            <xdr:xfrm>
              <a:off x="2471739" y="2928938"/>
              <a:ext cx="1824036" cy="1200149"/>
            </xdr:xfrm>
            <a:graphic>
              <a:graphicData uri="http://schemas.microsoft.com/office/drawing/2010/slicer">
                <sle:slicer xmlns:sle="http://schemas.microsoft.com/office/drawing/2010/slicer" name="Plan 1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469428" y="2883052"/>
                <a:ext cx="1822236" cy="117916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xdr:graphicFrame macro="">
        <xdr:nvGraphicFramePr>
          <xdr:cNvPr id="15" name="Gráfico 14">
            <a:extLst>
              <a:ext uri="{FF2B5EF4-FFF2-40B4-BE49-F238E27FC236}">
                <a16:creationId xmlns:a16="http://schemas.microsoft.com/office/drawing/2014/main" id="{BF6F2337-FA8A-4B37-92E0-8E280246D055}"/>
              </a:ext>
            </a:extLst>
          </xdr:cNvPr>
          <xdr:cNvGraphicFramePr>
            <a:graphicFrameLocks/>
          </xdr:cNvGraphicFramePr>
        </xdr:nvGraphicFramePr>
        <xdr:xfrm>
          <a:off x="4400551" y="2676525"/>
          <a:ext cx="2352674" cy="17049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16" name="Gráfico 15">
            <a:extLst>
              <a:ext uri="{FF2B5EF4-FFF2-40B4-BE49-F238E27FC236}">
                <a16:creationId xmlns:a16="http://schemas.microsoft.com/office/drawing/2014/main" id="{BEFD1B0A-E237-4699-9B63-C24C457D36D7}"/>
              </a:ext>
            </a:extLst>
          </xdr:cNvPr>
          <xdr:cNvGraphicFramePr>
            <a:graphicFrameLocks/>
          </xdr:cNvGraphicFramePr>
        </xdr:nvGraphicFramePr>
        <xdr:xfrm>
          <a:off x="6581775" y="2705100"/>
          <a:ext cx="4943475" cy="16478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3</xdr:col>
      <xdr:colOff>219075</xdr:colOff>
      <xdr:row>25</xdr:row>
      <xdr:rowOff>66675</xdr:rowOff>
    </xdr:from>
    <xdr:to>
      <xdr:col>22</xdr:col>
      <xdr:colOff>504825</xdr:colOff>
      <xdr:row>36</xdr:row>
      <xdr:rowOff>114300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E185FB3F-971B-4EFF-B45A-D237D0F2BB0B}"/>
            </a:ext>
          </a:extLst>
        </xdr:cNvPr>
        <xdr:cNvSpPr/>
      </xdr:nvSpPr>
      <xdr:spPr>
        <a:xfrm>
          <a:off x="2047875" y="4829175"/>
          <a:ext cx="11868150" cy="2143125"/>
        </a:xfrm>
        <a:prstGeom prst="round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9</xdr:col>
      <xdr:colOff>285750</xdr:colOff>
      <xdr:row>25</xdr:row>
      <xdr:rowOff>66675</xdr:rowOff>
    </xdr:from>
    <xdr:to>
      <xdr:col>22</xdr:col>
      <xdr:colOff>314325</xdr:colOff>
      <xdr:row>36</xdr:row>
      <xdr:rowOff>28575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C441FABC-95F3-41B3-BC47-3E41CBB2CD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3</xdr:col>
      <xdr:colOff>590550</xdr:colOff>
      <xdr:row>26</xdr:row>
      <xdr:rowOff>9525</xdr:rowOff>
    </xdr:from>
    <xdr:to>
      <xdr:col>6</xdr:col>
      <xdr:colOff>590550</xdr:colOff>
      <xdr:row>31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9" name="Minecraft Season Pass 1">
              <a:extLst>
                <a:ext uri="{FF2B5EF4-FFF2-40B4-BE49-F238E27FC236}">
                  <a16:creationId xmlns:a16="http://schemas.microsoft.com/office/drawing/2014/main" id="{4E583067-107E-4BC5-9FC0-9C83BF082F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inecraft Season Pas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7476" y="4881328"/>
              <a:ext cx="1826926" cy="10226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274864</xdr:colOff>
      <xdr:row>32</xdr:row>
      <xdr:rowOff>114300</xdr:rowOff>
    </xdr:from>
    <xdr:to>
      <xdr:col>9</xdr:col>
      <xdr:colOff>361950</xdr:colOff>
      <xdr:row>34</xdr:row>
      <xdr:rowOff>161925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33A76D8E-BAAD-44CB-9179-882E756AD2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594" b="33594"/>
        <a:stretch>
          <a:fillRect/>
        </a:stretch>
      </xdr:blipFill>
      <xdr:spPr>
        <a:xfrm>
          <a:off x="4542064" y="6210300"/>
          <a:ext cx="1306286" cy="428625"/>
        </a:xfrm>
        <a:prstGeom prst="rect">
          <a:avLst/>
        </a:prstGeom>
      </xdr:spPr>
    </xdr:pic>
    <xdr:clientData/>
  </xdr:twoCellAnchor>
  <xdr:twoCellAnchor editAs="absolute">
    <xdr:from>
      <xdr:col>7</xdr:col>
      <xdr:colOff>390525</xdr:colOff>
      <xdr:row>27</xdr:row>
      <xdr:rowOff>1317</xdr:rowOff>
    </xdr:from>
    <xdr:to>
      <xdr:col>9</xdr:col>
      <xdr:colOff>371475</xdr:colOff>
      <xdr:row>30</xdr:row>
      <xdr:rowOff>9526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DD143011-965F-48E4-A00A-0C3FC342DBAD}"/>
            </a:ext>
          </a:extLst>
        </xdr:cNvPr>
        <xdr:cNvGrpSpPr/>
      </xdr:nvGrpSpPr>
      <xdr:grpSpPr>
        <a:xfrm>
          <a:off x="4653353" y="5060497"/>
          <a:ext cx="1198901" cy="570340"/>
          <a:chOff x="3495675" y="5400674"/>
          <a:chExt cx="1549476" cy="752476"/>
        </a:xfrm>
      </xdr:grpSpPr>
      <xdr:pic>
        <xdr:nvPicPr>
          <xdr:cNvPr id="32" name="Imagem 31">
            <a:extLst>
              <a:ext uri="{FF2B5EF4-FFF2-40B4-BE49-F238E27FC236}">
                <a16:creationId xmlns:a16="http://schemas.microsoft.com/office/drawing/2014/main" id="{46738F23-7A6F-D990-C895-85ADBC0BEC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33" name="Gráfico 32">
            <a:extLst>
              <a:ext uri="{FF2B5EF4-FFF2-40B4-BE49-F238E27FC236}">
                <a16:creationId xmlns:a16="http://schemas.microsoft.com/office/drawing/2014/main" id="{E85736AD-2D81-89A2-D614-4AA76E0353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absolute">
    <xdr:from>
      <xdr:col>3</xdr:col>
      <xdr:colOff>552450</xdr:colOff>
      <xdr:row>31</xdr:row>
      <xdr:rowOff>38100</xdr:rowOff>
    </xdr:from>
    <xdr:to>
      <xdr:col>6</xdr:col>
      <xdr:colOff>552450</xdr:colOff>
      <xdr:row>36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8" name="EA Play Season Pass 1">
              <a:extLst>
                <a:ext uri="{FF2B5EF4-FFF2-40B4-BE49-F238E27FC236}">
                  <a16:creationId xmlns:a16="http://schemas.microsoft.com/office/drawing/2014/main" id="{FD1B5981-652E-4CFD-8950-3C2C8AB811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A Play Season Pas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79376" y="5846789"/>
              <a:ext cx="1826926" cy="10130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18</xdr:col>
      <xdr:colOff>466725</xdr:colOff>
      <xdr:row>0</xdr:row>
      <xdr:rowOff>180975</xdr:rowOff>
    </xdr:from>
    <xdr:to>
      <xdr:col>22</xdr:col>
      <xdr:colOff>495300</xdr:colOff>
      <xdr:row>24</xdr:row>
      <xdr:rowOff>19050</xdr:rowOff>
    </xdr:to>
    <xdr:sp macro="" textlink="">
      <xdr:nvSpPr>
        <xdr:cNvPr id="34" name="Retângulo: Cantos Arredondados 33">
          <a:extLst>
            <a:ext uri="{FF2B5EF4-FFF2-40B4-BE49-F238E27FC236}">
              <a16:creationId xmlns:a16="http://schemas.microsoft.com/office/drawing/2014/main" id="{91B8842F-36B5-4771-A9DF-264A2F3A4AC1}"/>
            </a:ext>
          </a:extLst>
        </xdr:cNvPr>
        <xdr:cNvSpPr/>
      </xdr:nvSpPr>
      <xdr:spPr>
        <a:xfrm>
          <a:off x="11439525" y="180975"/>
          <a:ext cx="2466975" cy="4410075"/>
        </a:xfrm>
        <a:prstGeom prst="round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219076</xdr:colOff>
      <xdr:row>3</xdr:row>
      <xdr:rowOff>133350</xdr:rowOff>
    </xdr:from>
    <xdr:to>
      <xdr:col>22</xdr:col>
      <xdr:colOff>133350</xdr:colOff>
      <xdr:row>9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7" name="Auto Renewal 1">
              <a:extLst>
                <a:ext uri="{FF2B5EF4-FFF2-40B4-BE49-F238E27FC236}">
                  <a16:creationId xmlns:a16="http://schemas.microsoft.com/office/drawing/2014/main" id="{1DB38AE3-D86A-4E41-AA9A-BFF9E81839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89609" y="695481"/>
              <a:ext cx="1741200" cy="10480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19</xdr:col>
      <xdr:colOff>47625</xdr:colOff>
      <xdr:row>10</xdr:row>
      <xdr:rowOff>142875</xdr:rowOff>
    </xdr:from>
    <xdr:to>
      <xdr:col>22</xdr:col>
      <xdr:colOff>438150</xdr:colOff>
      <xdr:row>21</xdr:row>
      <xdr:rowOff>57150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CD3EC21A-AA71-45B7-9FAB-C90EC48BB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absolute">
    <xdr:from>
      <xdr:col>0</xdr:col>
      <xdr:colOff>142875</xdr:colOff>
      <xdr:row>4</xdr:row>
      <xdr:rowOff>57150</xdr:rowOff>
    </xdr:from>
    <xdr:to>
      <xdr:col>2</xdr:col>
      <xdr:colOff>424272</xdr:colOff>
      <xdr:row>6</xdr:row>
      <xdr:rowOff>137923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EC9FBA94-5B9E-40F8-8AA5-9F70DC93D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2875" y="819150"/>
          <a:ext cx="1500597" cy="461773"/>
        </a:xfrm>
        <a:prstGeom prst="rect">
          <a:avLst/>
        </a:prstGeom>
      </xdr:spPr>
    </xdr:pic>
    <xdr:clientData/>
  </xdr:twoCellAnchor>
  <xdr:twoCellAnchor>
    <xdr:from>
      <xdr:col>0</xdr:col>
      <xdr:colOff>133349</xdr:colOff>
      <xdr:row>34</xdr:row>
      <xdr:rowOff>28574</xdr:rowOff>
    </xdr:from>
    <xdr:to>
      <xdr:col>2</xdr:col>
      <xdr:colOff>428624</xdr:colOff>
      <xdr:row>36</xdr:row>
      <xdr:rowOff>123825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DFFFDB7B-52CF-20E9-C4AA-9BEB62660666}"/>
            </a:ext>
          </a:extLst>
        </xdr:cNvPr>
        <xdr:cNvSpPr txBox="1"/>
      </xdr:nvSpPr>
      <xdr:spPr>
        <a:xfrm>
          <a:off x="133349" y="6505574"/>
          <a:ext cx="1514475" cy="4762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Autor</a:t>
          </a:r>
        </a:p>
        <a:p>
          <a:r>
            <a:rPr lang="pt-BR" sz="10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NWErickSasaki</a:t>
          </a:r>
        </a:p>
      </xdr:txBody>
    </xdr:sp>
    <xdr:clientData/>
  </xdr:twoCellAnchor>
  <xdr:twoCellAnchor>
    <xdr:from>
      <xdr:col>0</xdr:col>
      <xdr:colOff>142875</xdr:colOff>
      <xdr:row>1</xdr:row>
      <xdr:rowOff>38100</xdr:rowOff>
    </xdr:from>
    <xdr:to>
      <xdr:col>2</xdr:col>
      <xdr:colOff>485775</xdr:colOff>
      <xdr:row>3</xdr:row>
      <xdr:rowOff>123825</xdr:rowOff>
    </xdr:to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24BAFB1A-504D-4D92-B315-66F16976C480}"/>
            </a:ext>
          </a:extLst>
        </xdr:cNvPr>
        <xdr:cNvSpPr txBox="1"/>
      </xdr:nvSpPr>
      <xdr:spPr>
        <a:xfrm>
          <a:off x="142875" y="228600"/>
          <a:ext cx="1562100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 b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Dashboard</a:t>
          </a:r>
          <a:r>
            <a:rPr lang="pt-BR" sz="1000" b="0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pt-BR" sz="10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ASSINATURAS XBOX</a:t>
          </a:r>
          <a:endParaRPr lang="pt-BR" sz="10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152400</xdr:colOff>
      <xdr:row>30</xdr:row>
      <xdr:rowOff>114300</xdr:rowOff>
    </xdr:from>
    <xdr:to>
      <xdr:col>2</xdr:col>
      <xdr:colOff>447675</xdr:colOff>
      <xdr:row>33</xdr:row>
      <xdr:rowOff>19051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740ECF45-7884-40F4-9A4C-D7CBEC53018F}"/>
            </a:ext>
          </a:extLst>
        </xdr:cNvPr>
        <xdr:cNvSpPr txBox="1"/>
      </xdr:nvSpPr>
      <xdr:spPr>
        <a:xfrm>
          <a:off x="152400" y="5829300"/>
          <a:ext cx="1514475" cy="4762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Atualizado</a:t>
          </a:r>
          <a:r>
            <a:rPr lang="pt-BR" sz="1000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em</a:t>
          </a:r>
          <a:endParaRPr lang="pt-BR" sz="10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pt-BR" sz="10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21/04/2026</a:t>
          </a:r>
        </a:p>
      </xdr:txBody>
    </xdr:sp>
    <xdr:clientData/>
  </xdr:twoCellAnchor>
  <xdr:twoCellAnchor>
    <xdr:from>
      <xdr:col>0</xdr:col>
      <xdr:colOff>161925</xdr:colOff>
      <xdr:row>7</xdr:row>
      <xdr:rowOff>123825</xdr:rowOff>
    </xdr:from>
    <xdr:to>
      <xdr:col>2</xdr:col>
      <xdr:colOff>457200</xdr:colOff>
      <xdr:row>10</xdr:row>
      <xdr:rowOff>28576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8B6FAA66-B842-4402-A4C9-4E2E004F815E}"/>
            </a:ext>
          </a:extLst>
        </xdr:cNvPr>
        <xdr:cNvSpPr txBox="1"/>
      </xdr:nvSpPr>
      <xdr:spPr>
        <a:xfrm>
          <a:off x="161925" y="1457325"/>
          <a:ext cx="1514475" cy="4762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Base</a:t>
          </a:r>
          <a:r>
            <a:rPr lang="pt-BR" sz="1000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de dados</a:t>
          </a:r>
          <a:endParaRPr lang="pt-BR" sz="10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pt-BR" sz="10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2024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W" refreshedDate="46129.702135879626" createdVersion="8" refreshedVersion="8" minRefreshableVersion="3" recordCount="295" xr:uid="{3EAFD578-A6AF-4081-ADCA-484022E3EC28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35545099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x v="0"/>
    <x v="0"/>
    <x v="0"/>
    <x v="0"/>
    <x v="0"/>
    <x v="0"/>
    <n v="5"/>
    <n v="60"/>
  </r>
  <r>
    <n v="3232"/>
    <s v="Maria Oliveira"/>
    <x v="1"/>
    <d v="2024-01-15T00:00:00"/>
    <x v="1"/>
    <x v="1"/>
    <x v="1"/>
    <x v="1"/>
    <x v="1"/>
    <x v="1"/>
    <x v="1"/>
    <n v="0"/>
    <n v="5"/>
  </r>
  <r>
    <n v="3233"/>
    <s v="Lucas Fernandes"/>
    <x v="2"/>
    <d v="2024-02-10T00:00:00"/>
    <x v="0"/>
    <x v="2"/>
    <x v="2"/>
    <x v="1"/>
    <x v="1"/>
    <x v="0"/>
    <x v="0"/>
    <n v="10"/>
    <n v="20"/>
  </r>
  <r>
    <n v="3234"/>
    <s v="Ana Souza"/>
    <x v="0"/>
    <d v="2024-02-20T00:00:00"/>
    <x v="1"/>
    <x v="0"/>
    <x v="0"/>
    <x v="0"/>
    <x v="0"/>
    <x v="0"/>
    <x v="0"/>
    <n v="3"/>
    <n v="62"/>
  </r>
  <r>
    <n v="3235"/>
    <s v="Pedro Gonçalves"/>
    <x v="1"/>
    <d v="2024-03-05T00:00:00"/>
    <x v="0"/>
    <x v="1"/>
    <x v="0"/>
    <x v="1"/>
    <x v="1"/>
    <x v="1"/>
    <x v="1"/>
    <n v="1"/>
    <n v="4"/>
  </r>
  <r>
    <n v="3236"/>
    <s v="Felipe Costa"/>
    <x v="2"/>
    <d v="2024-03-02T00:00:00"/>
    <x v="1"/>
    <x v="2"/>
    <x v="0"/>
    <x v="1"/>
    <x v="1"/>
    <x v="0"/>
    <x v="0"/>
    <n v="2"/>
    <n v="28"/>
  </r>
  <r>
    <n v="3237"/>
    <s v="Camila Ribeiro"/>
    <x v="0"/>
    <d v="2024-03-03T00:00:00"/>
    <x v="0"/>
    <x v="0"/>
    <x v="2"/>
    <x v="0"/>
    <x v="0"/>
    <x v="0"/>
    <x v="0"/>
    <n v="10"/>
    <n v="55"/>
  </r>
  <r>
    <n v="3238"/>
    <s v="André Mendes"/>
    <x v="1"/>
    <d v="2024-03-04T00:00:00"/>
    <x v="0"/>
    <x v="1"/>
    <x v="1"/>
    <x v="1"/>
    <x v="1"/>
    <x v="1"/>
    <x v="1"/>
    <n v="0"/>
    <n v="5"/>
  </r>
  <r>
    <n v="3239"/>
    <s v="Sofia Almeida"/>
    <x v="0"/>
    <d v="2024-03-05T00:00:00"/>
    <x v="1"/>
    <x v="0"/>
    <x v="0"/>
    <x v="0"/>
    <x v="0"/>
    <x v="0"/>
    <x v="0"/>
    <n v="5"/>
    <n v="60"/>
  </r>
  <r>
    <n v="3240"/>
    <s v="Bruno Martins"/>
    <x v="2"/>
    <d v="2024-03-06T00:00:00"/>
    <x v="0"/>
    <x v="2"/>
    <x v="2"/>
    <x v="1"/>
    <x v="1"/>
    <x v="0"/>
    <x v="0"/>
    <n v="15"/>
    <n v="15"/>
  </r>
  <r>
    <n v="3241"/>
    <s v="Rita Castro"/>
    <x v="1"/>
    <d v="2024-03-07T00:00:00"/>
    <x v="1"/>
    <x v="1"/>
    <x v="0"/>
    <x v="1"/>
    <x v="1"/>
    <x v="1"/>
    <x v="1"/>
    <n v="1"/>
    <n v="4"/>
  </r>
  <r>
    <n v="3242"/>
    <s v="Marco Túlio"/>
    <x v="0"/>
    <d v="2024-03-08T00:00:00"/>
    <x v="0"/>
    <x v="0"/>
    <x v="1"/>
    <x v="0"/>
    <x v="0"/>
    <x v="0"/>
    <x v="0"/>
    <n v="20"/>
    <n v="45"/>
  </r>
  <r>
    <n v="3243"/>
    <s v="Lívia Silveira"/>
    <x v="2"/>
    <d v="2024-03-09T00:00:00"/>
    <x v="1"/>
    <x v="2"/>
    <x v="0"/>
    <x v="1"/>
    <x v="1"/>
    <x v="0"/>
    <x v="0"/>
    <n v="10"/>
    <n v="20"/>
  </r>
  <r>
    <n v="3244"/>
    <s v="Diogo Sousa"/>
    <x v="1"/>
    <d v="2024-03-10T00:00:00"/>
    <x v="0"/>
    <x v="1"/>
    <x v="2"/>
    <x v="1"/>
    <x v="1"/>
    <x v="1"/>
    <x v="1"/>
    <n v="0"/>
    <n v="5"/>
  </r>
  <r>
    <n v="3245"/>
    <s v="Fernanda Lima"/>
    <x v="0"/>
    <d v="2024-03-11T00:00:00"/>
    <x v="1"/>
    <x v="0"/>
    <x v="0"/>
    <x v="0"/>
    <x v="0"/>
    <x v="0"/>
    <x v="0"/>
    <n v="8"/>
    <n v="57"/>
  </r>
  <r>
    <n v="3246"/>
    <s v="Caio Pereira"/>
    <x v="2"/>
    <d v="2024-03-12T00:00:00"/>
    <x v="0"/>
    <x v="2"/>
    <x v="1"/>
    <x v="1"/>
    <x v="1"/>
    <x v="0"/>
    <x v="0"/>
    <n v="12"/>
    <n v="18"/>
  </r>
  <r>
    <n v="3247"/>
    <s v="Beatriz Gomes"/>
    <x v="1"/>
    <d v="2024-03-13T00:00:00"/>
    <x v="1"/>
    <x v="1"/>
    <x v="0"/>
    <x v="1"/>
    <x v="1"/>
    <x v="1"/>
    <x v="1"/>
    <n v="2"/>
    <n v="3"/>
  </r>
  <r>
    <n v="3248"/>
    <s v="Cesar Oliveira"/>
    <x v="0"/>
    <d v="2024-03-14T00:00:00"/>
    <x v="0"/>
    <x v="0"/>
    <x v="2"/>
    <x v="0"/>
    <x v="0"/>
    <x v="0"/>
    <x v="0"/>
    <n v="7"/>
    <n v="58"/>
  </r>
  <r>
    <n v="3249"/>
    <s v="Débora Machado"/>
    <x v="2"/>
    <d v="2024-03-15T00:00:00"/>
    <x v="1"/>
    <x v="2"/>
    <x v="0"/>
    <x v="1"/>
    <x v="1"/>
    <x v="0"/>
    <x v="0"/>
    <n v="5"/>
    <n v="25"/>
  </r>
  <r>
    <n v="3250"/>
    <s v="Eduardo Vargas"/>
    <x v="1"/>
    <d v="2024-03-16T00:00:00"/>
    <x v="0"/>
    <x v="1"/>
    <x v="1"/>
    <x v="1"/>
    <x v="1"/>
    <x v="1"/>
    <x v="1"/>
    <n v="0"/>
    <n v="5"/>
  </r>
  <r>
    <n v="3251"/>
    <s v="Gabriela Santos"/>
    <x v="0"/>
    <d v="2024-03-17T00:00:00"/>
    <x v="1"/>
    <x v="0"/>
    <x v="0"/>
    <x v="0"/>
    <x v="0"/>
    <x v="0"/>
    <x v="0"/>
    <n v="3"/>
    <n v="62"/>
  </r>
  <r>
    <n v="3252"/>
    <s v="Henrique Dias"/>
    <x v="2"/>
    <d v="2024-03-18T00:00:00"/>
    <x v="0"/>
    <x v="2"/>
    <x v="2"/>
    <x v="1"/>
    <x v="1"/>
    <x v="0"/>
    <x v="0"/>
    <n v="15"/>
    <n v="15"/>
  </r>
  <r>
    <n v="3253"/>
    <s v="Isabela Moreira"/>
    <x v="1"/>
    <d v="2024-03-19T00:00:00"/>
    <x v="1"/>
    <x v="1"/>
    <x v="0"/>
    <x v="1"/>
    <x v="1"/>
    <x v="1"/>
    <x v="1"/>
    <n v="1"/>
    <n v="4"/>
  </r>
  <r>
    <n v="3254"/>
    <s v="Joaquim Barbosa"/>
    <x v="0"/>
    <d v="2024-03-20T00:00:00"/>
    <x v="0"/>
    <x v="0"/>
    <x v="1"/>
    <x v="0"/>
    <x v="0"/>
    <x v="0"/>
    <x v="0"/>
    <n v="20"/>
    <n v="45"/>
  </r>
  <r>
    <n v="3255"/>
    <s v="Lara Rocha"/>
    <x v="2"/>
    <d v="2024-03-21T00:00:00"/>
    <x v="1"/>
    <x v="2"/>
    <x v="0"/>
    <x v="1"/>
    <x v="1"/>
    <x v="0"/>
    <x v="0"/>
    <n v="10"/>
    <n v="20"/>
  </r>
  <r>
    <n v="3256"/>
    <s v="Matheus Silva"/>
    <x v="1"/>
    <d v="2024-03-22T00:00:00"/>
    <x v="0"/>
    <x v="1"/>
    <x v="2"/>
    <x v="1"/>
    <x v="1"/>
    <x v="1"/>
    <x v="1"/>
    <n v="0"/>
    <n v="5"/>
  </r>
  <r>
    <n v="3257"/>
    <s v="Nicole Costa"/>
    <x v="0"/>
    <d v="2024-03-23T00:00:00"/>
    <x v="1"/>
    <x v="0"/>
    <x v="0"/>
    <x v="0"/>
    <x v="0"/>
    <x v="0"/>
    <x v="0"/>
    <n v="5"/>
    <n v="60"/>
  </r>
  <r>
    <n v="3258"/>
    <s v="Otávio Mendonça"/>
    <x v="2"/>
    <d v="2024-03-24T00:00:00"/>
    <x v="0"/>
    <x v="2"/>
    <x v="1"/>
    <x v="1"/>
    <x v="1"/>
    <x v="0"/>
    <x v="0"/>
    <n v="15"/>
    <n v="15"/>
  </r>
  <r>
    <n v="3259"/>
    <s v="Paula Ferreira"/>
    <x v="1"/>
    <d v="2024-03-25T00:00:00"/>
    <x v="1"/>
    <x v="1"/>
    <x v="0"/>
    <x v="1"/>
    <x v="1"/>
    <x v="1"/>
    <x v="1"/>
    <n v="1"/>
    <n v="4"/>
  </r>
  <r>
    <n v="3260"/>
    <s v="Raquel Alves"/>
    <x v="0"/>
    <d v="2024-03-26T00:00:00"/>
    <x v="0"/>
    <x v="0"/>
    <x v="2"/>
    <x v="0"/>
    <x v="0"/>
    <x v="0"/>
    <x v="0"/>
    <n v="7"/>
    <n v="58"/>
  </r>
  <r>
    <n v="3261"/>
    <s v="Samuel Pires"/>
    <x v="2"/>
    <d v="2024-03-27T00:00:00"/>
    <x v="1"/>
    <x v="2"/>
    <x v="0"/>
    <x v="1"/>
    <x v="1"/>
    <x v="0"/>
    <x v="0"/>
    <n v="10"/>
    <n v="20"/>
  </r>
  <r>
    <n v="3262"/>
    <s v="Tânia Barros"/>
    <x v="1"/>
    <d v="2024-03-28T00:00:00"/>
    <x v="0"/>
    <x v="1"/>
    <x v="1"/>
    <x v="1"/>
    <x v="1"/>
    <x v="1"/>
    <x v="1"/>
    <n v="0"/>
    <n v="5"/>
  </r>
  <r>
    <n v="3263"/>
    <s v="Vinicius Lima"/>
    <x v="0"/>
    <d v="2024-03-29T00:00:00"/>
    <x v="1"/>
    <x v="0"/>
    <x v="0"/>
    <x v="0"/>
    <x v="0"/>
    <x v="0"/>
    <x v="0"/>
    <n v="3"/>
    <n v="62"/>
  </r>
  <r>
    <n v="3264"/>
    <s v="Yasmin Teixeira"/>
    <x v="2"/>
    <d v="2024-03-30T00:00:00"/>
    <x v="0"/>
    <x v="2"/>
    <x v="2"/>
    <x v="1"/>
    <x v="1"/>
    <x v="0"/>
    <x v="0"/>
    <n v="15"/>
    <n v="15"/>
  </r>
  <r>
    <n v="3265"/>
    <s v="Zé Carlos"/>
    <x v="1"/>
    <d v="2024-03-31T00:00:00"/>
    <x v="1"/>
    <x v="1"/>
    <x v="0"/>
    <x v="1"/>
    <x v="1"/>
    <x v="1"/>
    <x v="1"/>
    <n v="1"/>
    <n v="4"/>
  </r>
  <r>
    <n v="3266"/>
    <s v="Amanda Nogueira"/>
    <x v="1"/>
    <d v="2024-04-01T00:00:00"/>
    <x v="0"/>
    <x v="1"/>
    <x v="0"/>
    <x v="1"/>
    <x v="1"/>
    <x v="1"/>
    <x v="1"/>
    <n v="0"/>
    <n v="5"/>
  </r>
  <r>
    <n v="3267"/>
    <s v="Bruno Cavalheiro"/>
    <x v="0"/>
    <d v="2024-04-02T00:00:00"/>
    <x v="1"/>
    <x v="0"/>
    <x v="2"/>
    <x v="0"/>
    <x v="0"/>
    <x v="0"/>
    <x v="0"/>
    <n v="7"/>
    <n v="58"/>
  </r>
  <r>
    <n v="3268"/>
    <s v="Carla Dias"/>
    <x v="2"/>
    <d v="2024-04-03T00:00:00"/>
    <x v="0"/>
    <x v="2"/>
    <x v="1"/>
    <x v="1"/>
    <x v="1"/>
    <x v="0"/>
    <x v="0"/>
    <n v="10"/>
    <n v="20"/>
  </r>
  <r>
    <n v="3269"/>
    <s v="Diego Fontes"/>
    <x v="1"/>
    <d v="2024-04-04T00:00:00"/>
    <x v="1"/>
    <x v="1"/>
    <x v="2"/>
    <x v="1"/>
    <x v="1"/>
    <x v="1"/>
    <x v="1"/>
    <n v="1"/>
    <n v="4"/>
  </r>
  <r>
    <n v="3270"/>
    <s v="Eunice Lima"/>
    <x v="0"/>
    <d v="2024-04-05T00:00:00"/>
    <x v="0"/>
    <x v="0"/>
    <x v="0"/>
    <x v="0"/>
    <x v="0"/>
    <x v="0"/>
    <x v="0"/>
    <n v="15"/>
    <n v="50"/>
  </r>
  <r>
    <n v="3271"/>
    <s v="Fábio Martins"/>
    <x v="2"/>
    <d v="2024-04-06T00:00:00"/>
    <x v="1"/>
    <x v="2"/>
    <x v="0"/>
    <x v="1"/>
    <x v="1"/>
    <x v="0"/>
    <x v="0"/>
    <n v="5"/>
    <n v="25"/>
  </r>
  <r>
    <n v="3272"/>
    <s v="Gisele Araújo"/>
    <x v="1"/>
    <d v="2024-04-07T00:00:00"/>
    <x v="0"/>
    <x v="1"/>
    <x v="1"/>
    <x v="1"/>
    <x v="1"/>
    <x v="1"/>
    <x v="1"/>
    <n v="0"/>
    <n v="5"/>
  </r>
  <r>
    <n v="3273"/>
    <s v="Hélio Castro"/>
    <x v="0"/>
    <d v="2024-04-08T00:00:00"/>
    <x v="1"/>
    <x v="0"/>
    <x v="2"/>
    <x v="0"/>
    <x v="0"/>
    <x v="0"/>
    <x v="0"/>
    <n v="20"/>
    <n v="45"/>
  </r>
  <r>
    <n v="3274"/>
    <s v="Ingrid Menezes"/>
    <x v="2"/>
    <d v="2024-04-09T00:00:00"/>
    <x v="0"/>
    <x v="2"/>
    <x v="2"/>
    <x v="1"/>
    <x v="1"/>
    <x v="0"/>
    <x v="0"/>
    <n v="12"/>
    <n v="18"/>
  </r>
  <r>
    <n v="3275"/>
    <s v="Jorge Baptista"/>
    <x v="1"/>
    <d v="2024-04-10T00:00:00"/>
    <x v="1"/>
    <x v="1"/>
    <x v="0"/>
    <x v="1"/>
    <x v="1"/>
    <x v="1"/>
    <x v="1"/>
    <n v="2"/>
    <n v="3"/>
  </r>
  <r>
    <n v="3276"/>
    <s v="Kléber Oliveira"/>
    <x v="0"/>
    <d v="2024-04-11T00:00:00"/>
    <x v="0"/>
    <x v="0"/>
    <x v="1"/>
    <x v="0"/>
    <x v="0"/>
    <x v="0"/>
    <x v="0"/>
    <n v="5"/>
    <n v="60"/>
  </r>
  <r>
    <n v="3277"/>
    <s v="Luciana Freitas"/>
    <x v="2"/>
    <d v="2024-04-12T00:00:00"/>
    <x v="1"/>
    <x v="2"/>
    <x v="0"/>
    <x v="1"/>
    <x v="1"/>
    <x v="0"/>
    <x v="0"/>
    <n v="10"/>
    <n v="20"/>
  </r>
  <r>
    <n v="3278"/>
    <s v="Márcia Eller"/>
    <x v="1"/>
    <d v="2024-04-13T00:00:00"/>
    <x v="0"/>
    <x v="1"/>
    <x v="2"/>
    <x v="1"/>
    <x v="1"/>
    <x v="1"/>
    <x v="1"/>
    <n v="0"/>
    <n v="5"/>
  </r>
  <r>
    <n v="3279"/>
    <s v="Nilo Peçanha"/>
    <x v="0"/>
    <d v="2024-04-14T00:00:00"/>
    <x v="1"/>
    <x v="0"/>
    <x v="0"/>
    <x v="0"/>
    <x v="0"/>
    <x v="0"/>
    <x v="0"/>
    <n v="3"/>
    <n v="62"/>
  </r>
  <r>
    <n v="3280"/>
    <s v="Oscar Neves"/>
    <x v="2"/>
    <d v="2024-04-15T00:00:00"/>
    <x v="0"/>
    <x v="2"/>
    <x v="1"/>
    <x v="1"/>
    <x v="1"/>
    <x v="0"/>
    <x v="0"/>
    <n v="15"/>
    <n v="15"/>
  </r>
  <r>
    <n v="3281"/>
    <s v="Patrícia Soares"/>
    <x v="1"/>
    <d v="2024-04-16T00:00:00"/>
    <x v="1"/>
    <x v="1"/>
    <x v="0"/>
    <x v="1"/>
    <x v="1"/>
    <x v="1"/>
    <x v="1"/>
    <n v="1"/>
    <n v="4"/>
  </r>
  <r>
    <n v="3282"/>
    <s v="Quirino Gonçalves"/>
    <x v="0"/>
    <d v="2024-04-17T00:00:00"/>
    <x v="0"/>
    <x v="0"/>
    <x v="2"/>
    <x v="0"/>
    <x v="0"/>
    <x v="0"/>
    <x v="0"/>
    <n v="7"/>
    <n v="58"/>
  </r>
  <r>
    <n v="3283"/>
    <s v="Raul Machado"/>
    <x v="2"/>
    <d v="2024-04-18T00:00:00"/>
    <x v="1"/>
    <x v="2"/>
    <x v="0"/>
    <x v="1"/>
    <x v="1"/>
    <x v="0"/>
    <x v="0"/>
    <n v="10"/>
    <n v="20"/>
  </r>
  <r>
    <n v="3284"/>
    <s v="Sônia Lobo"/>
    <x v="1"/>
    <d v="2024-04-19T00:00:00"/>
    <x v="0"/>
    <x v="1"/>
    <x v="1"/>
    <x v="1"/>
    <x v="1"/>
    <x v="1"/>
    <x v="1"/>
    <n v="0"/>
    <n v="5"/>
  </r>
  <r>
    <n v="3285"/>
    <s v="Tiago Ramos"/>
    <x v="0"/>
    <d v="2024-04-20T00:00:00"/>
    <x v="1"/>
    <x v="0"/>
    <x v="0"/>
    <x v="0"/>
    <x v="0"/>
    <x v="0"/>
    <x v="0"/>
    <n v="20"/>
    <n v="45"/>
  </r>
  <r>
    <n v="3286"/>
    <s v="Ugo Pires"/>
    <x v="2"/>
    <d v="2024-04-21T00:00:00"/>
    <x v="0"/>
    <x v="2"/>
    <x v="2"/>
    <x v="1"/>
    <x v="1"/>
    <x v="0"/>
    <x v="0"/>
    <n v="15"/>
    <n v="15"/>
  </r>
  <r>
    <n v="3287"/>
    <s v="Valéria Nobre"/>
    <x v="1"/>
    <d v="2024-04-22T00:00:00"/>
    <x v="1"/>
    <x v="1"/>
    <x v="0"/>
    <x v="1"/>
    <x v="1"/>
    <x v="1"/>
    <x v="1"/>
    <n v="1"/>
    <n v="4"/>
  </r>
  <r>
    <n v="3288"/>
    <s v="William Siqueira"/>
    <x v="0"/>
    <d v="2024-04-23T00:00:00"/>
    <x v="0"/>
    <x v="0"/>
    <x v="1"/>
    <x v="0"/>
    <x v="0"/>
    <x v="0"/>
    <x v="0"/>
    <n v="3"/>
    <n v="62"/>
  </r>
  <r>
    <n v="3289"/>
    <s v="Xuxa Meneghel"/>
    <x v="2"/>
    <d v="2024-04-24T00:00:00"/>
    <x v="1"/>
    <x v="2"/>
    <x v="0"/>
    <x v="1"/>
    <x v="1"/>
    <x v="0"/>
    <x v="0"/>
    <n v="10"/>
    <n v="20"/>
  </r>
  <r>
    <n v="3290"/>
    <s v="Yara Figueiredo"/>
    <x v="1"/>
    <d v="2024-04-25T00:00:00"/>
    <x v="0"/>
    <x v="1"/>
    <x v="2"/>
    <x v="1"/>
    <x v="1"/>
    <x v="1"/>
    <x v="1"/>
    <n v="0"/>
    <n v="5"/>
  </r>
  <r>
    <n v="3291"/>
    <s v="Zacarias Alves"/>
    <x v="0"/>
    <d v="2024-04-26T00:00:00"/>
    <x v="1"/>
    <x v="0"/>
    <x v="0"/>
    <x v="0"/>
    <x v="0"/>
    <x v="0"/>
    <x v="0"/>
    <n v="5"/>
    <n v="60"/>
  </r>
  <r>
    <n v="3292"/>
    <s v="Amanda Bynes"/>
    <x v="2"/>
    <d v="2024-04-27T00:00:00"/>
    <x v="0"/>
    <x v="2"/>
    <x v="1"/>
    <x v="1"/>
    <x v="1"/>
    <x v="0"/>
    <x v="0"/>
    <n v="15"/>
    <n v="15"/>
  </r>
  <r>
    <n v="3293"/>
    <s v="Bruno Mars"/>
    <x v="1"/>
    <d v="2024-04-28T00:00:00"/>
    <x v="1"/>
    <x v="1"/>
    <x v="0"/>
    <x v="1"/>
    <x v="1"/>
    <x v="1"/>
    <x v="1"/>
    <n v="1"/>
    <n v="4"/>
  </r>
  <r>
    <n v="3294"/>
    <s v="Carla Bruni"/>
    <x v="0"/>
    <d v="2024-04-29T00:00:00"/>
    <x v="0"/>
    <x v="0"/>
    <x v="2"/>
    <x v="0"/>
    <x v="0"/>
    <x v="0"/>
    <x v="0"/>
    <n v="20"/>
    <n v="45"/>
  </r>
  <r>
    <n v="3295"/>
    <s v="Diego Maradona"/>
    <x v="2"/>
    <d v="2024-04-30T00:00:00"/>
    <x v="1"/>
    <x v="2"/>
    <x v="0"/>
    <x v="1"/>
    <x v="1"/>
    <x v="0"/>
    <x v="0"/>
    <n v="5"/>
    <n v="25"/>
  </r>
  <r>
    <n v="3296"/>
    <s v="Estela Marques"/>
    <x v="1"/>
    <d v="2024-05-01T00:00:00"/>
    <x v="1"/>
    <x v="1"/>
    <x v="0"/>
    <x v="1"/>
    <x v="1"/>
    <x v="1"/>
    <x v="1"/>
    <n v="0"/>
    <n v="5"/>
  </r>
  <r>
    <n v="3297"/>
    <s v="Fábio Nobre"/>
    <x v="0"/>
    <d v="2024-05-02T00:00:00"/>
    <x v="0"/>
    <x v="0"/>
    <x v="2"/>
    <x v="0"/>
    <x v="0"/>
    <x v="0"/>
    <x v="0"/>
    <n v="7"/>
    <n v="58"/>
  </r>
  <r>
    <n v="3298"/>
    <s v="Gabriel Oliveira"/>
    <x v="2"/>
    <d v="2024-05-03T00:00:00"/>
    <x v="1"/>
    <x v="2"/>
    <x v="1"/>
    <x v="1"/>
    <x v="1"/>
    <x v="0"/>
    <x v="0"/>
    <n v="10"/>
    <n v="20"/>
  </r>
  <r>
    <n v="3299"/>
    <s v="Helena Santos"/>
    <x v="1"/>
    <d v="2024-05-04T00:00:00"/>
    <x v="0"/>
    <x v="1"/>
    <x v="2"/>
    <x v="1"/>
    <x v="1"/>
    <x v="1"/>
    <x v="1"/>
    <n v="1"/>
    <n v="4"/>
  </r>
  <r>
    <n v="3300"/>
    <s v="Ivan Carvalho"/>
    <x v="0"/>
    <d v="2024-05-05T00:00:00"/>
    <x v="1"/>
    <x v="0"/>
    <x v="0"/>
    <x v="0"/>
    <x v="0"/>
    <x v="0"/>
    <x v="0"/>
    <n v="15"/>
    <n v="50"/>
  </r>
  <r>
    <n v="3301"/>
    <s v="Júlia Ferreira"/>
    <x v="2"/>
    <d v="2024-05-06T00:00:00"/>
    <x v="0"/>
    <x v="2"/>
    <x v="0"/>
    <x v="1"/>
    <x v="1"/>
    <x v="0"/>
    <x v="0"/>
    <n v="5"/>
    <n v="25"/>
  </r>
  <r>
    <n v="3302"/>
    <s v="Karla Alves"/>
    <x v="1"/>
    <d v="2024-05-07T00:00:00"/>
    <x v="1"/>
    <x v="1"/>
    <x v="1"/>
    <x v="1"/>
    <x v="1"/>
    <x v="1"/>
    <x v="1"/>
    <n v="0"/>
    <n v="5"/>
  </r>
  <r>
    <n v="3303"/>
    <s v="Lucas Mendes"/>
    <x v="0"/>
    <d v="2024-05-08T00:00:00"/>
    <x v="0"/>
    <x v="0"/>
    <x v="2"/>
    <x v="0"/>
    <x v="0"/>
    <x v="0"/>
    <x v="0"/>
    <n v="20"/>
    <n v="45"/>
  </r>
  <r>
    <n v="3304"/>
    <s v="Mônica Gomes"/>
    <x v="2"/>
    <d v="2024-05-09T00:00:00"/>
    <x v="1"/>
    <x v="2"/>
    <x v="2"/>
    <x v="1"/>
    <x v="1"/>
    <x v="0"/>
    <x v="0"/>
    <n v="12"/>
    <n v="18"/>
  </r>
  <r>
    <n v="3305"/>
    <s v="Norberto Queiroz"/>
    <x v="1"/>
    <d v="2024-05-10T00:00:00"/>
    <x v="0"/>
    <x v="1"/>
    <x v="0"/>
    <x v="1"/>
    <x v="1"/>
    <x v="1"/>
    <x v="1"/>
    <n v="2"/>
    <n v="3"/>
  </r>
  <r>
    <n v="3306"/>
    <s v="Otávio Barros"/>
    <x v="0"/>
    <d v="2024-05-11T00:00:00"/>
    <x v="1"/>
    <x v="0"/>
    <x v="1"/>
    <x v="0"/>
    <x v="0"/>
    <x v="0"/>
    <x v="0"/>
    <n v="5"/>
    <n v="60"/>
  </r>
  <r>
    <n v="3307"/>
    <s v="Paula Vieira"/>
    <x v="2"/>
    <d v="2024-05-12T00:00:00"/>
    <x v="0"/>
    <x v="2"/>
    <x v="0"/>
    <x v="1"/>
    <x v="1"/>
    <x v="0"/>
    <x v="0"/>
    <n v="10"/>
    <n v="20"/>
  </r>
  <r>
    <n v="3308"/>
    <s v="Quentin Ramos"/>
    <x v="1"/>
    <d v="2024-05-13T00:00:00"/>
    <x v="1"/>
    <x v="1"/>
    <x v="2"/>
    <x v="1"/>
    <x v="1"/>
    <x v="1"/>
    <x v="1"/>
    <n v="0"/>
    <n v="5"/>
  </r>
  <r>
    <n v="3309"/>
    <s v="Raquel Novaes"/>
    <x v="0"/>
    <d v="2024-05-14T00:00:00"/>
    <x v="0"/>
    <x v="0"/>
    <x v="0"/>
    <x v="0"/>
    <x v="0"/>
    <x v="0"/>
    <x v="0"/>
    <n v="3"/>
    <n v="62"/>
  </r>
  <r>
    <n v="3310"/>
    <s v="Samantha Lopes"/>
    <x v="2"/>
    <d v="2024-05-15T00:00:00"/>
    <x v="1"/>
    <x v="2"/>
    <x v="1"/>
    <x v="1"/>
    <x v="1"/>
    <x v="0"/>
    <x v="0"/>
    <n v="15"/>
    <n v="15"/>
  </r>
  <r>
    <n v="3311"/>
    <s v="Tiago Martins"/>
    <x v="1"/>
    <d v="2024-05-16T00:00:00"/>
    <x v="0"/>
    <x v="1"/>
    <x v="0"/>
    <x v="1"/>
    <x v="1"/>
    <x v="1"/>
    <x v="1"/>
    <n v="1"/>
    <n v="4"/>
  </r>
  <r>
    <n v="3312"/>
    <s v="Ulysses Guimarães"/>
    <x v="0"/>
    <d v="2024-05-17T00:00:00"/>
    <x v="1"/>
    <x v="0"/>
    <x v="2"/>
    <x v="0"/>
    <x v="0"/>
    <x v="0"/>
    <x v="0"/>
    <n v="7"/>
    <n v="58"/>
  </r>
  <r>
    <n v="3313"/>
    <s v="Vanessa Silva"/>
    <x v="2"/>
    <d v="2024-05-18T00:00:00"/>
    <x v="0"/>
    <x v="2"/>
    <x v="0"/>
    <x v="1"/>
    <x v="1"/>
    <x v="0"/>
    <x v="0"/>
    <n v="10"/>
    <n v="20"/>
  </r>
  <r>
    <n v="3314"/>
    <s v="William Carneiro"/>
    <x v="1"/>
    <d v="2024-05-19T00:00:00"/>
    <x v="1"/>
    <x v="1"/>
    <x v="1"/>
    <x v="1"/>
    <x v="1"/>
    <x v="1"/>
    <x v="1"/>
    <n v="0"/>
    <n v="5"/>
  </r>
  <r>
    <n v="3315"/>
    <s v="Ximena Rocha"/>
    <x v="0"/>
    <d v="2024-05-20T00:00:00"/>
    <x v="0"/>
    <x v="0"/>
    <x v="0"/>
    <x v="0"/>
    <x v="0"/>
    <x v="0"/>
    <x v="0"/>
    <n v="20"/>
    <n v="45"/>
  </r>
  <r>
    <n v="3316"/>
    <s v="Yasmin Figueiredo"/>
    <x v="2"/>
    <d v="2024-05-21T00:00:00"/>
    <x v="1"/>
    <x v="2"/>
    <x v="2"/>
    <x v="1"/>
    <x v="1"/>
    <x v="0"/>
    <x v="0"/>
    <n v="15"/>
    <n v="15"/>
  </r>
  <r>
    <n v="3317"/>
    <s v="Zara Cunha"/>
    <x v="1"/>
    <d v="2024-05-22T00:00:00"/>
    <x v="0"/>
    <x v="1"/>
    <x v="0"/>
    <x v="1"/>
    <x v="1"/>
    <x v="1"/>
    <x v="1"/>
    <n v="1"/>
    <n v="4"/>
  </r>
  <r>
    <n v="3318"/>
    <s v="Alan Teixeira"/>
    <x v="0"/>
    <d v="2024-05-23T00:00:00"/>
    <x v="1"/>
    <x v="0"/>
    <x v="1"/>
    <x v="0"/>
    <x v="0"/>
    <x v="0"/>
    <x v="0"/>
    <n v="3"/>
    <n v="62"/>
  </r>
  <r>
    <n v="3319"/>
    <s v="Bárbara Oliveira"/>
    <x v="2"/>
    <d v="2024-05-24T00:00:00"/>
    <x v="0"/>
    <x v="2"/>
    <x v="0"/>
    <x v="1"/>
    <x v="1"/>
    <x v="0"/>
    <x v="0"/>
    <n v="10"/>
    <n v="20"/>
  </r>
  <r>
    <n v="3320"/>
    <s v="Carlos Junqueira"/>
    <x v="1"/>
    <d v="2024-05-25T00:00:00"/>
    <x v="1"/>
    <x v="1"/>
    <x v="2"/>
    <x v="1"/>
    <x v="1"/>
    <x v="1"/>
    <x v="1"/>
    <n v="0"/>
    <n v="5"/>
  </r>
  <r>
    <n v="3321"/>
    <s v="Daniela Moura"/>
    <x v="0"/>
    <d v="2024-05-26T00:00:00"/>
    <x v="0"/>
    <x v="0"/>
    <x v="0"/>
    <x v="0"/>
    <x v="0"/>
    <x v="0"/>
    <x v="0"/>
    <n v="5"/>
    <n v="60"/>
  </r>
  <r>
    <n v="3322"/>
    <s v="Eduardo Lima"/>
    <x v="2"/>
    <d v="2024-05-27T00:00:00"/>
    <x v="1"/>
    <x v="2"/>
    <x v="1"/>
    <x v="1"/>
    <x v="1"/>
    <x v="0"/>
    <x v="0"/>
    <n v="15"/>
    <n v="15"/>
  </r>
  <r>
    <n v="3323"/>
    <s v="Fabiana Araújo"/>
    <x v="1"/>
    <d v="2024-05-28T00:00:00"/>
    <x v="0"/>
    <x v="1"/>
    <x v="0"/>
    <x v="1"/>
    <x v="1"/>
    <x v="1"/>
    <x v="1"/>
    <n v="1"/>
    <n v="4"/>
  </r>
  <r>
    <n v="3324"/>
    <s v="Geraldo Ribeiro"/>
    <x v="0"/>
    <d v="2024-05-29T00:00:00"/>
    <x v="1"/>
    <x v="0"/>
    <x v="2"/>
    <x v="0"/>
    <x v="0"/>
    <x v="0"/>
    <x v="0"/>
    <n v="20"/>
    <n v="45"/>
  </r>
  <r>
    <n v="3325"/>
    <s v="Héctor Vargas"/>
    <x v="2"/>
    <d v="2024-05-30T00:00:00"/>
    <x v="0"/>
    <x v="2"/>
    <x v="2"/>
    <x v="1"/>
    <x v="1"/>
    <x v="0"/>
    <x v="0"/>
    <n v="15"/>
    <n v="15"/>
  </r>
  <r>
    <n v="3326"/>
    <s v="Isabela Fonseca"/>
    <x v="1"/>
    <d v="2024-05-31T00:00:00"/>
    <x v="1"/>
    <x v="1"/>
    <x v="1"/>
    <x v="1"/>
    <x v="1"/>
    <x v="1"/>
    <x v="1"/>
    <n v="0"/>
    <n v="5"/>
  </r>
  <r>
    <n v="3327"/>
    <s v="João Pedro Almeida"/>
    <x v="0"/>
    <d v="2024-06-01T00:00:00"/>
    <x v="0"/>
    <x v="0"/>
    <x v="0"/>
    <x v="0"/>
    <x v="0"/>
    <x v="0"/>
    <x v="0"/>
    <n v="7"/>
    <n v="58"/>
  </r>
  <r>
    <n v="3328"/>
    <s v="Klara Costa"/>
    <x v="2"/>
    <d v="2024-06-02T00:00:00"/>
    <x v="1"/>
    <x v="2"/>
    <x v="1"/>
    <x v="1"/>
    <x v="1"/>
    <x v="0"/>
    <x v="0"/>
    <n v="10"/>
    <n v="20"/>
  </r>
  <r>
    <n v="3329"/>
    <s v="Luciana Mendes"/>
    <x v="1"/>
    <d v="2024-06-03T00:00:00"/>
    <x v="0"/>
    <x v="1"/>
    <x v="2"/>
    <x v="1"/>
    <x v="1"/>
    <x v="1"/>
    <x v="1"/>
    <n v="1"/>
    <n v="4"/>
  </r>
  <r>
    <n v="3330"/>
    <s v="Marcelo Gouveia"/>
    <x v="0"/>
    <d v="2024-06-04T00:00:00"/>
    <x v="1"/>
    <x v="0"/>
    <x v="0"/>
    <x v="0"/>
    <x v="0"/>
    <x v="0"/>
    <x v="0"/>
    <n v="15"/>
    <n v="50"/>
  </r>
  <r>
    <n v="3331"/>
    <s v="Nívea Borges"/>
    <x v="2"/>
    <d v="2024-06-05T00:00:00"/>
    <x v="0"/>
    <x v="2"/>
    <x v="0"/>
    <x v="1"/>
    <x v="1"/>
    <x v="0"/>
    <x v="0"/>
    <n v="5"/>
    <n v="25"/>
  </r>
  <r>
    <n v="3332"/>
    <s v="Oscar Nogueira"/>
    <x v="1"/>
    <d v="2024-06-06T00:00:00"/>
    <x v="1"/>
    <x v="1"/>
    <x v="1"/>
    <x v="1"/>
    <x v="1"/>
    <x v="1"/>
    <x v="1"/>
    <n v="0"/>
    <n v="5"/>
  </r>
  <r>
    <n v="3333"/>
    <s v="Patrícia Alves"/>
    <x v="0"/>
    <d v="2024-06-07T00:00:00"/>
    <x v="0"/>
    <x v="0"/>
    <x v="2"/>
    <x v="0"/>
    <x v="0"/>
    <x v="0"/>
    <x v="0"/>
    <n v="20"/>
    <n v="45"/>
  </r>
  <r>
    <n v="3334"/>
    <s v="Rafaela Silva"/>
    <x v="2"/>
    <d v="2024-06-08T00:00:00"/>
    <x v="1"/>
    <x v="2"/>
    <x v="2"/>
    <x v="1"/>
    <x v="1"/>
    <x v="0"/>
    <x v="0"/>
    <n v="12"/>
    <n v="18"/>
  </r>
  <r>
    <n v="3335"/>
    <s v="Samantha Moraes"/>
    <x v="1"/>
    <d v="2024-06-09T00:00:00"/>
    <x v="0"/>
    <x v="1"/>
    <x v="0"/>
    <x v="1"/>
    <x v="1"/>
    <x v="1"/>
    <x v="1"/>
    <n v="2"/>
    <n v="3"/>
  </r>
  <r>
    <n v="3336"/>
    <s v="Tatiana Rocha"/>
    <x v="1"/>
    <d v="2024-06-10T00:00:00"/>
    <x v="0"/>
    <x v="1"/>
    <x v="0"/>
    <x v="1"/>
    <x v="1"/>
    <x v="1"/>
    <x v="1"/>
    <n v="0"/>
    <n v="5"/>
  </r>
  <r>
    <n v="3337"/>
    <s v="Ulisses Tavares"/>
    <x v="0"/>
    <d v="2024-06-11T00:00:00"/>
    <x v="1"/>
    <x v="0"/>
    <x v="2"/>
    <x v="0"/>
    <x v="0"/>
    <x v="0"/>
    <x v="0"/>
    <n v="7"/>
    <n v="58"/>
  </r>
  <r>
    <n v="3338"/>
    <s v="Víctor Lemos"/>
    <x v="2"/>
    <d v="2024-06-12T00:00:00"/>
    <x v="0"/>
    <x v="2"/>
    <x v="1"/>
    <x v="1"/>
    <x v="1"/>
    <x v="0"/>
    <x v="0"/>
    <n v="10"/>
    <n v="20"/>
  </r>
  <r>
    <n v="3339"/>
    <s v="Wilma Barros"/>
    <x v="1"/>
    <d v="2024-06-13T00:00:00"/>
    <x v="1"/>
    <x v="1"/>
    <x v="2"/>
    <x v="1"/>
    <x v="1"/>
    <x v="1"/>
    <x v="1"/>
    <n v="1"/>
    <n v="4"/>
  </r>
  <r>
    <n v="3340"/>
    <s v="Xavier Nascimento"/>
    <x v="0"/>
    <d v="2024-06-14T00:00:00"/>
    <x v="0"/>
    <x v="0"/>
    <x v="0"/>
    <x v="0"/>
    <x v="0"/>
    <x v="0"/>
    <x v="0"/>
    <n v="15"/>
    <n v="50"/>
  </r>
  <r>
    <n v="3341"/>
    <s v="Yago Pereira"/>
    <x v="2"/>
    <d v="2024-06-15T00:00:00"/>
    <x v="1"/>
    <x v="2"/>
    <x v="0"/>
    <x v="1"/>
    <x v="1"/>
    <x v="0"/>
    <x v="0"/>
    <n v="5"/>
    <n v="25"/>
  </r>
  <r>
    <n v="3342"/>
    <s v="Zilda Ferreira"/>
    <x v="1"/>
    <d v="2024-06-16T00:00:00"/>
    <x v="0"/>
    <x v="1"/>
    <x v="1"/>
    <x v="1"/>
    <x v="1"/>
    <x v="1"/>
    <x v="1"/>
    <n v="0"/>
    <n v="5"/>
  </r>
  <r>
    <n v="3343"/>
    <s v="Amanda Lopes"/>
    <x v="0"/>
    <d v="2024-06-17T00:00:00"/>
    <x v="1"/>
    <x v="0"/>
    <x v="2"/>
    <x v="0"/>
    <x v="0"/>
    <x v="0"/>
    <x v="0"/>
    <n v="20"/>
    <n v="45"/>
  </r>
  <r>
    <n v="3344"/>
    <s v="Bruno Miranda"/>
    <x v="2"/>
    <d v="2024-06-18T00:00:00"/>
    <x v="0"/>
    <x v="2"/>
    <x v="2"/>
    <x v="1"/>
    <x v="1"/>
    <x v="0"/>
    <x v="0"/>
    <n v="12"/>
    <n v="18"/>
  </r>
  <r>
    <n v="3345"/>
    <s v="Célia Torres"/>
    <x v="1"/>
    <d v="2024-06-19T00:00:00"/>
    <x v="1"/>
    <x v="1"/>
    <x v="0"/>
    <x v="1"/>
    <x v="1"/>
    <x v="1"/>
    <x v="1"/>
    <n v="2"/>
    <n v="3"/>
  </r>
  <r>
    <n v="3346"/>
    <s v="Diogo Souza"/>
    <x v="0"/>
    <d v="2024-06-20T00:00:00"/>
    <x v="0"/>
    <x v="0"/>
    <x v="1"/>
    <x v="0"/>
    <x v="0"/>
    <x v="0"/>
    <x v="0"/>
    <n v="5"/>
    <n v="60"/>
  </r>
  <r>
    <n v="3347"/>
    <s v="Elisa Castro"/>
    <x v="2"/>
    <d v="2024-06-21T00:00:00"/>
    <x v="1"/>
    <x v="2"/>
    <x v="0"/>
    <x v="1"/>
    <x v="1"/>
    <x v="0"/>
    <x v="0"/>
    <n v="10"/>
    <n v="20"/>
  </r>
  <r>
    <n v="3348"/>
    <s v="Fátima Lima"/>
    <x v="1"/>
    <d v="2024-06-22T00:00:00"/>
    <x v="0"/>
    <x v="1"/>
    <x v="2"/>
    <x v="1"/>
    <x v="1"/>
    <x v="1"/>
    <x v="1"/>
    <n v="0"/>
    <n v="5"/>
  </r>
  <r>
    <n v="3349"/>
    <s v="Geraldo Ribeiro"/>
    <x v="0"/>
    <d v="2024-06-23T00:00:00"/>
    <x v="1"/>
    <x v="0"/>
    <x v="0"/>
    <x v="0"/>
    <x v="0"/>
    <x v="0"/>
    <x v="0"/>
    <n v="3"/>
    <n v="62"/>
  </r>
  <r>
    <n v="3350"/>
    <s v="Hélio Martins"/>
    <x v="2"/>
    <d v="2024-06-24T00:00:00"/>
    <x v="0"/>
    <x v="2"/>
    <x v="1"/>
    <x v="1"/>
    <x v="1"/>
    <x v="0"/>
    <x v="0"/>
    <n v="15"/>
    <n v="15"/>
  </r>
  <r>
    <n v="3351"/>
    <s v="Íris Santos"/>
    <x v="1"/>
    <d v="2024-06-25T00:00:00"/>
    <x v="1"/>
    <x v="1"/>
    <x v="0"/>
    <x v="1"/>
    <x v="1"/>
    <x v="1"/>
    <x v="1"/>
    <n v="1"/>
    <n v="4"/>
  </r>
  <r>
    <n v="3352"/>
    <s v="João Marcelo"/>
    <x v="0"/>
    <d v="2024-06-26T00:00:00"/>
    <x v="0"/>
    <x v="0"/>
    <x v="2"/>
    <x v="0"/>
    <x v="0"/>
    <x v="0"/>
    <x v="0"/>
    <n v="7"/>
    <n v="58"/>
  </r>
  <r>
    <n v="3353"/>
    <s v="Larissa Gomes"/>
    <x v="2"/>
    <d v="2024-06-27T00:00:00"/>
    <x v="1"/>
    <x v="2"/>
    <x v="0"/>
    <x v="1"/>
    <x v="1"/>
    <x v="0"/>
    <x v="0"/>
    <n v="10"/>
    <n v="20"/>
  </r>
  <r>
    <n v="3354"/>
    <s v="Márcio Silva"/>
    <x v="1"/>
    <d v="2024-06-28T00:00:00"/>
    <x v="0"/>
    <x v="1"/>
    <x v="1"/>
    <x v="1"/>
    <x v="1"/>
    <x v="1"/>
    <x v="1"/>
    <n v="0"/>
    <n v="5"/>
  </r>
  <r>
    <n v="3355"/>
    <s v="Nadia Costa"/>
    <x v="0"/>
    <d v="2024-06-29T00:00:00"/>
    <x v="1"/>
    <x v="0"/>
    <x v="0"/>
    <x v="0"/>
    <x v="0"/>
    <x v="0"/>
    <x v="0"/>
    <n v="20"/>
    <n v="45"/>
  </r>
  <r>
    <n v="3356"/>
    <s v="Oscar Almeida"/>
    <x v="2"/>
    <d v="2024-06-30T00:00:00"/>
    <x v="0"/>
    <x v="2"/>
    <x v="2"/>
    <x v="1"/>
    <x v="1"/>
    <x v="0"/>
    <x v="0"/>
    <n v="15"/>
    <n v="15"/>
  </r>
  <r>
    <n v="3357"/>
    <s v="Patricia Soares"/>
    <x v="1"/>
    <d v="2024-07-01T00:00:00"/>
    <x v="1"/>
    <x v="1"/>
    <x v="0"/>
    <x v="1"/>
    <x v="1"/>
    <x v="1"/>
    <x v="1"/>
    <n v="1"/>
    <n v="4"/>
  </r>
  <r>
    <n v="3358"/>
    <s v="Quênia Barros"/>
    <x v="0"/>
    <d v="2024-07-02T00:00:00"/>
    <x v="0"/>
    <x v="0"/>
    <x v="1"/>
    <x v="0"/>
    <x v="0"/>
    <x v="0"/>
    <x v="0"/>
    <n v="3"/>
    <n v="62"/>
  </r>
  <r>
    <n v="3359"/>
    <s v="Rafael Torres"/>
    <x v="2"/>
    <d v="2024-07-03T00:00:00"/>
    <x v="1"/>
    <x v="2"/>
    <x v="0"/>
    <x v="1"/>
    <x v="1"/>
    <x v="0"/>
    <x v="0"/>
    <n v="10"/>
    <n v="20"/>
  </r>
  <r>
    <n v="3360"/>
    <s v="Silvia Nascimento"/>
    <x v="1"/>
    <d v="2024-07-04T00:00:00"/>
    <x v="0"/>
    <x v="1"/>
    <x v="2"/>
    <x v="1"/>
    <x v="1"/>
    <x v="1"/>
    <x v="1"/>
    <n v="0"/>
    <n v="5"/>
  </r>
  <r>
    <n v="3361"/>
    <s v="Tiago Mendes"/>
    <x v="0"/>
    <d v="2024-07-05T00:00:00"/>
    <x v="1"/>
    <x v="0"/>
    <x v="0"/>
    <x v="0"/>
    <x v="0"/>
    <x v="0"/>
    <x v="0"/>
    <n v="15"/>
    <n v="50"/>
  </r>
  <r>
    <n v="3362"/>
    <s v="Ursula Silva"/>
    <x v="2"/>
    <d v="2024-07-06T00:00:00"/>
    <x v="0"/>
    <x v="2"/>
    <x v="1"/>
    <x v="1"/>
    <x v="1"/>
    <x v="0"/>
    <x v="0"/>
    <n v="15"/>
    <n v="15"/>
  </r>
  <r>
    <n v="3363"/>
    <s v="Vanessa Moraes"/>
    <x v="1"/>
    <d v="2024-07-07T00:00:00"/>
    <x v="1"/>
    <x v="1"/>
    <x v="0"/>
    <x v="1"/>
    <x v="1"/>
    <x v="1"/>
    <x v="1"/>
    <n v="1"/>
    <n v="4"/>
  </r>
  <r>
    <n v="3364"/>
    <s v="Waldir Junior"/>
    <x v="0"/>
    <d v="2024-07-08T00:00:00"/>
    <x v="0"/>
    <x v="0"/>
    <x v="2"/>
    <x v="0"/>
    <x v="0"/>
    <x v="0"/>
    <x v="0"/>
    <n v="7"/>
    <n v="58"/>
  </r>
  <r>
    <n v="3365"/>
    <s v="Xavier Lopes"/>
    <x v="2"/>
    <d v="2024-07-09T00:00:00"/>
    <x v="1"/>
    <x v="2"/>
    <x v="0"/>
    <x v="1"/>
    <x v="1"/>
    <x v="0"/>
    <x v="0"/>
    <n v="10"/>
    <n v="20"/>
  </r>
  <r>
    <n v="3366"/>
    <s v="Yolanda Freitas"/>
    <x v="1"/>
    <d v="2024-07-10T00:00:00"/>
    <x v="0"/>
    <x v="1"/>
    <x v="0"/>
    <x v="1"/>
    <x v="1"/>
    <x v="1"/>
    <x v="1"/>
    <n v="0"/>
    <n v="5"/>
  </r>
  <r>
    <n v="3367"/>
    <s v="Zacarias Nunes"/>
    <x v="0"/>
    <d v="2024-07-11T00:00:00"/>
    <x v="1"/>
    <x v="0"/>
    <x v="2"/>
    <x v="0"/>
    <x v="0"/>
    <x v="0"/>
    <x v="0"/>
    <n v="7"/>
    <n v="58"/>
  </r>
  <r>
    <n v="3368"/>
    <s v="Ana Clara Barreto"/>
    <x v="2"/>
    <d v="2024-07-12T00:00:00"/>
    <x v="0"/>
    <x v="2"/>
    <x v="1"/>
    <x v="1"/>
    <x v="1"/>
    <x v="0"/>
    <x v="0"/>
    <n v="10"/>
    <n v="20"/>
  </r>
  <r>
    <n v="3369"/>
    <s v="Bruno Henrique"/>
    <x v="1"/>
    <d v="2024-07-13T00:00:00"/>
    <x v="1"/>
    <x v="1"/>
    <x v="2"/>
    <x v="1"/>
    <x v="1"/>
    <x v="1"/>
    <x v="1"/>
    <n v="1"/>
    <n v="4"/>
  </r>
  <r>
    <n v="3370"/>
    <s v="Carlos Eduardo"/>
    <x v="0"/>
    <d v="2024-07-14T00:00:00"/>
    <x v="0"/>
    <x v="0"/>
    <x v="0"/>
    <x v="0"/>
    <x v="0"/>
    <x v="0"/>
    <x v="0"/>
    <n v="15"/>
    <n v="50"/>
  </r>
  <r>
    <n v="3371"/>
    <s v="Débora Lima"/>
    <x v="2"/>
    <d v="2024-07-15T00:00:00"/>
    <x v="1"/>
    <x v="2"/>
    <x v="0"/>
    <x v="1"/>
    <x v="1"/>
    <x v="0"/>
    <x v="0"/>
    <n v="5"/>
    <n v="25"/>
  </r>
  <r>
    <n v="3372"/>
    <s v="Elisa Neves"/>
    <x v="1"/>
    <d v="2024-07-16T00:00:00"/>
    <x v="0"/>
    <x v="1"/>
    <x v="1"/>
    <x v="1"/>
    <x v="1"/>
    <x v="1"/>
    <x v="1"/>
    <n v="0"/>
    <n v="5"/>
  </r>
  <r>
    <n v="3373"/>
    <s v="Fabiano Gomes"/>
    <x v="0"/>
    <d v="2024-07-17T00:00:00"/>
    <x v="1"/>
    <x v="0"/>
    <x v="2"/>
    <x v="0"/>
    <x v="0"/>
    <x v="0"/>
    <x v="0"/>
    <n v="20"/>
    <n v="45"/>
  </r>
  <r>
    <n v="3374"/>
    <s v="Gisele Oliveira"/>
    <x v="2"/>
    <d v="2024-07-18T00:00:00"/>
    <x v="0"/>
    <x v="2"/>
    <x v="2"/>
    <x v="1"/>
    <x v="1"/>
    <x v="0"/>
    <x v="0"/>
    <n v="12"/>
    <n v="18"/>
  </r>
  <r>
    <n v="3375"/>
    <s v="Héctor Silva"/>
    <x v="1"/>
    <d v="2024-07-19T00:00:00"/>
    <x v="1"/>
    <x v="1"/>
    <x v="0"/>
    <x v="1"/>
    <x v="1"/>
    <x v="1"/>
    <x v="1"/>
    <n v="2"/>
    <n v="3"/>
  </r>
  <r>
    <n v="3376"/>
    <s v="Igor Martins"/>
    <x v="0"/>
    <d v="2024-07-20T00:00:00"/>
    <x v="0"/>
    <x v="0"/>
    <x v="1"/>
    <x v="0"/>
    <x v="0"/>
    <x v="0"/>
    <x v="0"/>
    <n v="5"/>
    <n v="60"/>
  </r>
  <r>
    <n v="3377"/>
    <s v="Joana Figueiredo"/>
    <x v="2"/>
    <d v="2024-07-21T00:00:00"/>
    <x v="1"/>
    <x v="2"/>
    <x v="0"/>
    <x v="1"/>
    <x v="1"/>
    <x v="0"/>
    <x v="0"/>
    <n v="10"/>
    <n v="20"/>
  </r>
  <r>
    <n v="3378"/>
    <s v="Kleber Machado"/>
    <x v="1"/>
    <d v="2024-07-22T00:00:00"/>
    <x v="0"/>
    <x v="1"/>
    <x v="2"/>
    <x v="1"/>
    <x v="1"/>
    <x v="1"/>
    <x v="1"/>
    <n v="0"/>
    <n v="5"/>
  </r>
  <r>
    <n v="3379"/>
    <s v="Luciana Santos"/>
    <x v="0"/>
    <d v="2024-07-23T00:00:00"/>
    <x v="1"/>
    <x v="0"/>
    <x v="0"/>
    <x v="0"/>
    <x v="0"/>
    <x v="0"/>
    <x v="0"/>
    <n v="3"/>
    <n v="62"/>
  </r>
  <r>
    <n v="3380"/>
    <s v="Marcos Teixeira"/>
    <x v="2"/>
    <d v="2024-07-24T00:00:00"/>
    <x v="0"/>
    <x v="2"/>
    <x v="1"/>
    <x v="1"/>
    <x v="1"/>
    <x v="0"/>
    <x v="0"/>
    <n v="15"/>
    <n v="15"/>
  </r>
  <r>
    <n v="3381"/>
    <s v="Natalia Costa"/>
    <x v="1"/>
    <d v="2024-07-25T00:00:00"/>
    <x v="1"/>
    <x v="1"/>
    <x v="0"/>
    <x v="1"/>
    <x v="1"/>
    <x v="1"/>
    <x v="1"/>
    <n v="1"/>
    <n v="4"/>
  </r>
  <r>
    <n v="3382"/>
    <s v="Oscar Ribeiro"/>
    <x v="0"/>
    <d v="2024-07-26T00:00:00"/>
    <x v="0"/>
    <x v="0"/>
    <x v="2"/>
    <x v="0"/>
    <x v="0"/>
    <x v="0"/>
    <x v="0"/>
    <n v="7"/>
    <n v="58"/>
  </r>
  <r>
    <n v="3383"/>
    <s v="Patricia Almeida"/>
    <x v="2"/>
    <d v="2024-07-27T00:00:00"/>
    <x v="1"/>
    <x v="2"/>
    <x v="0"/>
    <x v="1"/>
    <x v="1"/>
    <x v="0"/>
    <x v="0"/>
    <n v="10"/>
    <n v="20"/>
  </r>
  <r>
    <n v="3384"/>
    <s v="Quirino Junior"/>
    <x v="1"/>
    <d v="2024-07-28T00:00:00"/>
    <x v="0"/>
    <x v="1"/>
    <x v="1"/>
    <x v="1"/>
    <x v="1"/>
    <x v="1"/>
    <x v="1"/>
    <n v="0"/>
    <n v="5"/>
  </r>
  <r>
    <n v="3385"/>
    <s v="Renata Machado"/>
    <x v="0"/>
    <d v="2024-07-29T00:00:00"/>
    <x v="1"/>
    <x v="0"/>
    <x v="0"/>
    <x v="0"/>
    <x v="0"/>
    <x v="0"/>
    <x v="0"/>
    <n v="20"/>
    <n v="45"/>
  </r>
  <r>
    <n v="3386"/>
    <s v="Sônia Alves"/>
    <x v="2"/>
    <d v="2024-07-30T00:00:00"/>
    <x v="0"/>
    <x v="2"/>
    <x v="2"/>
    <x v="1"/>
    <x v="1"/>
    <x v="0"/>
    <x v="0"/>
    <n v="15"/>
    <n v="15"/>
  </r>
  <r>
    <n v="3387"/>
    <s v="Tiago Nunes"/>
    <x v="1"/>
    <d v="2024-07-31T00:00:00"/>
    <x v="1"/>
    <x v="1"/>
    <x v="0"/>
    <x v="1"/>
    <x v="1"/>
    <x v="1"/>
    <x v="1"/>
    <n v="1"/>
    <n v="4"/>
  </r>
  <r>
    <n v="3388"/>
    <s v="Ulysses Pereira"/>
    <x v="0"/>
    <d v="2024-08-01T00:00:00"/>
    <x v="0"/>
    <x v="0"/>
    <x v="1"/>
    <x v="0"/>
    <x v="0"/>
    <x v="0"/>
    <x v="0"/>
    <n v="3"/>
    <n v="62"/>
  </r>
  <r>
    <n v="3389"/>
    <s v="Vanessa Lima"/>
    <x v="2"/>
    <d v="2024-08-02T00:00:00"/>
    <x v="1"/>
    <x v="2"/>
    <x v="0"/>
    <x v="1"/>
    <x v="1"/>
    <x v="0"/>
    <x v="0"/>
    <n v="10"/>
    <n v="20"/>
  </r>
  <r>
    <n v="3390"/>
    <s v="Wagner Santos"/>
    <x v="1"/>
    <d v="2024-08-03T00:00:00"/>
    <x v="0"/>
    <x v="1"/>
    <x v="2"/>
    <x v="1"/>
    <x v="1"/>
    <x v="1"/>
    <x v="1"/>
    <n v="0"/>
    <n v="5"/>
  </r>
  <r>
    <n v="3391"/>
    <s v="Xuxa Meneghel"/>
    <x v="0"/>
    <d v="2024-08-04T00:00:00"/>
    <x v="1"/>
    <x v="0"/>
    <x v="0"/>
    <x v="0"/>
    <x v="0"/>
    <x v="0"/>
    <x v="0"/>
    <n v="15"/>
    <n v="50"/>
  </r>
  <r>
    <n v="3392"/>
    <s v="Yasmin Silva"/>
    <x v="2"/>
    <d v="2024-08-05T00:00:00"/>
    <x v="0"/>
    <x v="2"/>
    <x v="1"/>
    <x v="1"/>
    <x v="1"/>
    <x v="0"/>
    <x v="0"/>
    <n v="15"/>
    <n v="15"/>
  </r>
  <r>
    <n v="3393"/>
    <s v="Zacarias de Souza"/>
    <x v="1"/>
    <d v="2024-08-06T00:00:00"/>
    <x v="1"/>
    <x v="1"/>
    <x v="0"/>
    <x v="1"/>
    <x v="1"/>
    <x v="1"/>
    <x v="1"/>
    <n v="1"/>
    <n v="4"/>
  </r>
  <r>
    <n v="3394"/>
    <s v="André Lima"/>
    <x v="0"/>
    <d v="2024-08-07T00:00:00"/>
    <x v="0"/>
    <x v="0"/>
    <x v="2"/>
    <x v="0"/>
    <x v="0"/>
    <x v="0"/>
    <x v="0"/>
    <n v="7"/>
    <n v="58"/>
  </r>
  <r>
    <n v="3395"/>
    <s v="Bianca Freitas"/>
    <x v="2"/>
    <d v="2024-08-08T00:00:00"/>
    <x v="1"/>
    <x v="2"/>
    <x v="0"/>
    <x v="1"/>
    <x v="1"/>
    <x v="0"/>
    <x v="0"/>
    <n v="10"/>
    <n v="20"/>
  </r>
  <r>
    <n v="3396"/>
    <s v="Caio Mendes"/>
    <x v="1"/>
    <d v="2024-08-09T00:00:00"/>
    <x v="0"/>
    <x v="1"/>
    <x v="1"/>
    <x v="1"/>
    <x v="1"/>
    <x v="1"/>
    <x v="1"/>
    <n v="0"/>
    <n v="5"/>
  </r>
  <r>
    <n v="3397"/>
    <s v="Daniela Moura"/>
    <x v="0"/>
    <d v="2024-08-10T00:00:00"/>
    <x v="1"/>
    <x v="0"/>
    <x v="0"/>
    <x v="0"/>
    <x v="0"/>
    <x v="0"/>
    <x v="0"/>
    <n v="20"/>
    <n v="45"/>
  </r>
  <r>
    <n v="3398"/>
    <s v="Eduardo Costa"/>
    <x v="2"/>
    <d v="2024-08-11T00:00:00"/>
    <x v="0"/>
    <x v="2"/>
    <x v="2"/>
    <x v="1"/>
    <x v="1"/>
    <x v="0"/>
    <x v="0"/>
    <n v="15"/>
    <n v="15"/>
  </r>
  <r>
    <n v="3399"/>
    <s v="Fernanda Gomes"/>
    <x v="1"/>
    <d v="2024-08-12T00:00:00"/>
    <x v="1"/>
    <x v="1"/>
    <x v="0"/>
    <x v="1"/>
    <x v="1"/>
    <x v="1"/>
    <x v="1"/>
    <n v="1"/>
    <n v="4"/>
  </r>
  <r>
    <n v="3400"/>
    <s v="Guilherme Souza"/>
    <x v="0"/>
    <d v="2024-08-13T00:00:00"/>
    <x v="0"/>
    <x v="0"/>
    <x v="1"/>
    <x v="0"/>
    <x v="0"/>
    <x v="0"/>
    <x v="0"/>
    <n v="5"/>
    <n v="60"/>
  </r>
  <r>
    <n v="3401"/>
    <s v="Helena Ribeiro"/>
    <x v="2"/>
    <d v="2024-08-14T00:00:00"/>
    <x v="1"/>
    <x v="2"/>
    <x v="0"/>
    <x v="1"/>
    <x v="1"/>
    <x v="0"/>
    <x v="0"/>
    <n v="10"/>
    <n v="20"/>
  </r>
  <r>
    <n v="3402"/>
    <s v="Igor Santos"/>
    <x v="1"/>
    <d v="2024-08-15T00:00:00"/>
    <x v="0"/>
    <x v="1"/>
    <x v="2"/>
    <x v="1"/>
    <x v="1"/>
    <x v="1"/>
    <x v="1"/>
    <n v="0"/>
    <n v="5"/>
  </r>
  <r>
    <n v="3403"/>
    <s v="João Carvalho"/>
    <x v="0"/>
    <d v="2024-08-16T00:00:00"/>
    <x v="1"/>
    <x v="0"/>
    <x v="0"/>
    <x v="0"/>
    <x v="0"/>
    <x v="0"/>
    <x v="0"/>
    <n v="3"/>
    <n v="62"/>
  </r>
  <r>
    <n v="3404"/>
    <s v="Klara Fagundes"/>
    <x v="2"/>
    <d v="2024-08-17T00:00:00"/>
    <x v="0"/>
    <x v="2"/>
    <x v="1"/>
    <x v="1"/>
    <x v="1"/>
    <x v="0"/>
    <x v="0"/>
    <n v="15"/>
    <n v="15"/>
  </r>
  <r>
    <n v="3405"/>
    <s v="Lúcia Mendonça"/>
    <x v="1"/>
    <d v="2024-08-18T00:00:00"/>
    <x v="1"/>
    <x v="1"/>
    <x v="0"/>
    <x v="1"/>
    <x v="1"/>
    <x v="1"/>
    <x v="1"/>
    <n v="1"/>
    <n v="4"/>
  </r>
  <r>
    <n v="3406"/>
    <s v="Marcelo Novaes"/>
    <x v="1"/>
    <d v="2024-08-19T00:00:00"/>
    <x v="0"/>
    <x v="1"/>
    <x v="0"/>
    <x v="1"/>
    <x v="1"/>
    <x v="1"/>
    <x v="1"/>
    <n v="0"/>
    <n v="5"/>
  </r>
  <r>
    <n v="3407"/>
    <s v="Nina Pacheco"/>
    <x v="0"/>
    <d v="2024-08-20T00:00:00"/>
    <x v="1"/>
    <x v="0"/>
    <x v="2"/>
    <x v="0"/>
    <x v="0"/>
    <x v="0"/>
    <x v="0"/>
    <n v="7"/>
    <n v="58"/>
  </r>
  <r>
    <n v="3408"/>
    <s v="Olívia Rios"/>
    <x v="2"/>
    <d v="2024-08-21T00:00:00"/>
    <x v="0"/>
    <x v="2"/>
    <x v="1"/>
    <x v="1"/>
    <x v="1"/>
    <x v="0"/>
    <x v="0"/>
    <n v="10"/>
    <n v="20"/>
  </r>
  <r>
    <n v="3409"/>
    <s v="Paulo Quintana"/>
    <x v="1"/>
    <d v="2024-08-22T00:00:00"/>
    <x v="1"/>
    <x v="1"/>
    <x v="2"/>
    <x v="1"/>
    <x v="1"/>
    <x v="1"/>
    <x v="1"/>
    <n v="1"/>
    <n v="4"/>
  </r>
  <r>
    <n v="3410"/>
    <s v="Raquel Domingos"/>
    <x v="0"/>
    <d v="2024-08-23T00:00:00"/>
    <x v="0"/>
    <x v="0"/>
    <x v="0"/>
    <x v="0"/>
    <x v="0"/>
    <x v="0"/>
    <x v="0"/>
    <n v="15"/>
    <n v="50"/>
  </r>
  <r>
    <n v="3411"/>
    <s v="Samuel Viana"/>
    <x v="2"/>
    <d v="2024-08-24T00:00:00"/>
    <x v="1"/>
    <x v="2"/>
    <x v="0"/>
    <x v="1"/>
    <x v="1"/>
    <x v="0"/>
    <x v="0"/>
    <n v="5"/>
    <n v="25"/>
  </r>
  <r>
    <n v="3412"/>
    <s v="Tatiane Rocha"/>
    <x v="1"/>
    <d v="2024-08-25T00:00:00"/>
    <x v="0"/>
    <x v="1"/>
    <x v="1"/>
    <x v="1"/>
    <x v="1"/>
    <x v="1"/>
    <x v="1"/>
    <n v="0"/>
    <n v="5"/>
  </r>
  <r>
    <n v="3413"/>
    <s v="Ulysses Farias"/>
    <x v="0"/>
    <d v="2024-08-26T00:00:00"/>
    <x v="1"/>
    <x v="0"/>
    <x v="2"/>
    <x v="0"/>
    <x v="0"/>
    <x v="0"/>
    <x v="0"/>
    <n v="20"/>
    <n v="45"/>
  </r>
  <r>
    <n v="3414"/>
    <s v="Vanessa Moreira"/>
    <x v="2"/>
    <d v="2024-08-27T00:00:00"/>
    <x v="0"/>
    <x v="2"/>
    <x v="2"/>
    <x v="1"/>
    <x v="1"/>
    <x v="0"/>
    <x v="0"/>
    <n v="12"/>
    <n v="18"/>
  </r>
  <r>
    <n v="3415"/>
    <s v="William Carvalho"/>
    <x v="1"/>
    <d v="2024-08-28T00:00:00"/>
    <x v="1"/>
    <x v="1"/>
    <x v="0"/>
    <x v="1"/>
    <x v="1"/>
    <x v="1"/>
    <x v="1"/>
    <n v="2"/>
    <n v="3"/>
  </r>
  <r>
    <n v="3416"/>
    <s v="Ximena Barros"/>
    <x v="0"/>
    <d v="2024-08-29T00:00:00"/>
    <x v="0"/>
    <x v="0"/>
    <x v="1"/>
    <x v="0"/>
    <x v="0"/>
    <x v="0"/>
    <x v="0"/>
    <n v="5"/>
    <n v="60"/>
  </r>
  <r>
    <n v="3417"/>
    <s v="Yara Machado"/>
    <x v="2"/>
    <d v="2024-08-30T00:00:00"/>
    <x v="1"/>
    <x v="2"/>
    <x v="0"/>
    <x v="1"/>
    <x v="1"/>
    <x v="0"/>
    <x v="0"/>
    <n v="10"/>
    <n v="20"/>
  </r>
  <r>
    <n v="3418"/>
    <s v="Zacarias Costa"/>
    <x v="1"/>
    <d v="2024-08-31T00:00:00"/>
    <x v="0"/>
    <x v="1"/>
    <x v="2"/>
    <x v="1"/>
    <x v="1"/>
    <x v="1"/>
    <x v="1"/>
    <n v="0"/>
    <n v="5"/>
  </r>
  <r>
    <n v="3419"/>
    <s v="André Lopes"/>
    <x v="0"/>
    <d v="2024-09-01T00:00:00"/>
    <x v="1"/>
    <x v="0"/>
    <x v="0"/>
    <x v="0"/>
    <x v="0"/>
    <x v="0"/>
    <x v="0"/>
    <n v="3"/>
    <n v="62"/>
  </r>
  <r>
    <n v="3420"/>
    <s v="Beatriz Souza"/>
    <x v="2"/>
    <d v="2024-09-02T00:00:00"/>
    <x v="0"/>
    <x v="2"/>
    <x v="1"/>
    <x v="1"/>
    <x v="1"/>
    <x v="0"/>
    <x v="0"/>
    <n v="15"/>
    <n v="15"/>
  </r>
  <r>
    <n v="3421"/>
    <s v="Caio Pereira"/>
    <x v="1"/>
    <d v="2024-09-03T00:00:00"/>
    <x v="1"/>
    <x v="1"/>
    <x v="0"/>
    <x v="1"/>
    <x v="1"/>
    <x v="1"/>
    <x v="1"/>
    <n v="1"/>
    <n v="4"/>
  </r>
  <r>
    <n v="3422"/>
    <s v="Daniela Araújo"/>
    <x v="0"/>
    <d v="2024-09-04T00:00:00"/>
    <x v="0"/>
    <x v="0"/>
    <x v="2"/>
    <x v="0"/>
    <x v="0"/>
    <x v="0"/>
    <x v="0"/>
    <n v="7"/>
    <n v="58"/>
  </r>
  <r>
    <n v="3423"/>
    <s v="Eduardo Santos"/>
    <x v="2"/>
    <d v="2024-09-05T00:00:00"/>
    <x v="1"/>
    <x v="2"/>
    <x v="0"/>
    <x v="1"/>
    <x v="1"/>
    <x v="0"/>
    <x v="0"/>
    <n v="10"/>
    <n v="20"/>
  </r>
  <r>
    <n v="3424"/>
    <s v="Fernanda Lima"/>
    <x v="1"/>
    <d v="2024-09-06T00:00:00"/>
    <x v="0"/>
    <x v="1"/>
    <x v="1"/>
    <x v="1"/>
    <x v="1"/>
    <x v="1"/>
    <x v="1"/>
    <n v="0"/>
    <n v="5"/>
  </r>
  <r>
    <n v="3425"/>
    <s v="Gabriel Teixeira"/>
    <x v="0"/>
    <d v="2024-09-07T00:00:00"/>
    <x v="1"/>
    <x v="0"/>
    <x v="0"/>
    <x v="0"/>
    <x v="0"/>
    <x v="0"/>
    <x v="0"/>
    <n v="20"/>
    <n v="45"/>
  </r>
  <r>
    <n v="3426"/>
    <s v="Helena Ribeiro"/>
    <x v="2"/>
    <d v="2024-09-08T00:00:00"/>
    <x v="0"/>
    <x v="2"/>
    <x v="2"/>
    <x v="1"/>
    <x v="1"/>
    <x v="0"/>
    <x v="0"/>
    <n v="15"/>
    <n v="15"/>
  </r>
  <r>
    <n v="3427"/>
    <s v="Igor Mendes"/>
    <x v="1"/>
    <d v="2024-09-09T00:00:00"/>
    <x v="1"/>
    <x v="1"/>
    <x v="0"/>
    <x v="1"/>
    <x v="1"/>
    <x v="1"/>
    <x v="1"/>
    <n v="1"/>
    <n v="4"/>
  </r>
  <r>
    <n v="3428"/>
    <s v="Joana Silveira"/>
    <x v="0"/>
    <d v="2024-09-10T00:00:00"/>
    <x v="0"/>
    <x v="0"/>
    <x v="1"/>
    <x v="0"/>
    <x v="0"/>
    <x v="0"/>
    <x v="0"/>
    <n v="3"/>
    <n v="62"/>
  </r>
  <r>
    <n v="3429"/>
    <s v="Lucas Martins"/>
    <x v="2"/>
    <d v="2024-09-11T00:00:00"/>
    <x v="1"/>
    <x v="2"/>
    <x v="0"/>
    <x v="1"/>
    <x v="1"/>
    <x v="0"/>
    <x v="0"/>
    <n v="10"/>
    <n v="20"/>
  </r>
  <r>
    <n v="3430"/>
    <s v="Marcela Gouveia"/>
    <x v="1"/>
    <d v="2024-09-12T00:00:00"/>
    <x v="0"/>
    <x v="1"/>
    <x v="2"/>
    <x v="1"/>
    <x v="1"/>
    <x v="1"/>
    <x v="1"/>
    <n v="0"/>
    <n v="5"/>
  </r>
  <r>
    <n v="3431"/>
    <s v="Nicolas Borges"/>
    <x v="0"/>
    <d v="2024-09-13T00:00:00"/>
    <x v="1"/>
    <x v="0"/>
    <x v="0"/>
    <x v="0"/>
    <x v="0"/>
    <x v="0"/>
    <x v="0"/>
    <n v="15"/>
    <n v="50"/>
  </r>
  <r>
    <n v="3432"/>
    <s v="Olivia Freitas"/>
    <x v="2"/>
    <d v="2024-09-14T00:00:00"/>
    <x v="0"/>
    <x v="2"/>
    <x v="1"/>
    <x v="1"/>
    <x v="1"/>
    <x v="0"/>
    <x v="0"/>
    <n v="15"/>
    <n v="15"/>
  </r>
  <r>
    <n v="3433"/>
    <s v="Paulo Nogueira"/>
    <x v="1"/>
    <d v="2024-09-15T00:00:00"/>
    <x v="1"/>
    <x v="1"/>
    <x v="0"/>
    <x v="1"/>
    <x v="1"/>
    <x v="1"/>
    <x v="1"/>
    <n v="1"/>
    <n v="4"/>
  </r>
  <r>
    <n v="3434"/>
    <s v="Raquel Andrade"/>
    <x v="0"/>
    <d v="2024-09-16T00:00:00"/>
    <x v="0"/>
    <x v="0"/>
    <x v="2"/>
    <x v="0"/>
    <x v="0"/>
    <x v="0"/>
    <x v="0"/>
    <n v="7"/>
    <n v="58"/>
  </r>
  <r>
    <n v="3435"/>
    <s v="Sônia Carvalho"/>
    <x v="2"/>
    <d v="2024-09-17T00:00:00"/>
    <x v="1"/>
    <x v="2"/>
    <x v="0"/>
    <x v="1"/>
    <x v="1"/>
    <x v="0"/>
    <x v="0"/>
    <n v="10"/>
    <n v="20"/>
  </r>
  <r>
    <n v="3436"/>
    <s v="Tiago Rodrigues"/>
    <x v="1"/>
    <d v="2024-09-18T00:00:00"/>
    <x v="0"/>
    <x v="1"/>
    <x v="0"/>
    <x v="1"/>
    <x v="1"/>
    <x v="1"/>
    <x v="1"/>
    <n v="0"/>
    <n v="5"/>
  </r>
  <r>
    <n v="3437"/>
    <s v="Ursula Monteiro"/>
    <x v="0"/>
    <d v="2024-09-19T00:00:00"/>
    <x v="1"/>
    <x v="0"/>
    <x v="2"/>
    <x v="0"/>
    <x v="0"/>
    <x v="0"/>
    <x v="0"/>
    <n v="7"/>
    <n v="58"/>
  </r>
  <r>
    <n v="3438"/>
    <s v="Vanessa Pereira"/>
    <x v="2"/>
    <d v="2024-09-20T00:00:00"/>
    <x v="0"/>
    <x v="2"/>
    <x v="1"/>
    <x v="1"/>
    <x v="1"/>
    <x v="0"/>
    <x v="0"/>
    <n v="10"/>
    <n v="20"/>
  </r>
  <r>
    <n v="3439"/>
    <s v="Walter Silva"/>
    <x v="1"/>
    <d v="2024-09-21T00:00:00"/>
    <x v="1"/>
    <x v="1"/>
    <x v="2"/>
    <x v="1"/>
    <x v="1"/>
    <x v="1"/>
    <x v="1"/>
    <n v="1"/>
    <n v="4"/>
  </r>
  <r>
    <n v="3440"/>
    <s v="Xavier Almeida"/>
    <x v="0"/>
    <d v="2024-09-22T00:00:00"/>
    <x v="0"/>
    <x v="0"/>
    <x v="0"/>
    <x v="0"/>
    <x v="0"/>
    <x v="0"/>
    <x v="0"/>
    <n v="15"/>
    <n v="50"/>
  </r>
  <r>
    <n v="3441"/>
    <s v="Yasmine Correia"/>
    <x v="2"/>
    <d v="2024-09-23T00:00:00"/>
    <x v="1"/>
    <x v="2"/>
    <x v="0"/>
    <x v="1"/>
    <x v="1"/>
    <x v="0"/>
    <x v="0"/>
    <n v="5"/>
    <n v="25"/>
  </r>
  <r>
    <n v="3442"/>
    <s v="Zacarias Almeida"/>
    <x v="1"/>
    <d v="2024-09-24T00:00:00"/>
    <x v="0"/>
    <x v="1"/>
    <x v="1"/>
    <x v="1"/>
    <x v="1"/>
    <x v="1"/>
    <x v="1"/>
    <n v="0"/>
    <n v="5"/>
  </r>
  <r>
    <n v="3443"/>
    <s v="Amanda Costa"/>
    <x v="0"/>
    <d v="2024-09-25T00:00:00"/>
    <x v="1"/>
    <x v="0"/>
    <x v="2"/>
    <x v="0"/>
    <x v="0"/>
    <x v="0"/>
    <x v="0"/>
    <n v="20"/>
    <n v="45"/>
  </r>
  <r>
    <n v="3444"/>
    <s v="Bruno Ferreira"/>
    <x v="2"/>
    <d v="2024-09-26T00:00:00"/>
    <x v="0"/>
    <x v="2"/>
    <x v="2"/>
    <x v="1"/>
    <x v="1"/>
    <x v="0"/>
    <x v="0"/>
    <n v="12"/>
    <n v="18"/>
  </r>
  <r>
    <n v="3445"/>
    <s v="Carla Dias"/>
    <x v="1"/>
    <d v="2024-09-27T00:00:00"/>
    <x v="1"/>
    <x v="1"/>
    <x v="0"/>
    <x v="1"/>
    <x v="1"/>
    <x v="1"/>
    <x v="1"/>
    <n v="2"/>
    <n v="3"/>
  </r>
  <r>
    <n v="3446"/>
    <s v="Diogo Martins"/>
    <x v="0"/>
    <d v="2024-09-28T00:00:00"/>
    <x v="0"/>
    <x v="0"/>
    <x v="1"/>
    <x v="0"/>
    <x v="0"/>
    <x v="0"/>
    <x v="0"/>
    <n v="5"/>
    <n v="60"/>
  </r>
  <r>
    <n v="3447"/>
    <s v="Elisa Campos"/>
    <x v="2"/>
    <d v="2024-09-29T00:00:00"/>
    <x v="1"/>
    <x v="2"/>
    <x v="0"/>
    <x v="1"/>
    <x v="1"/>
    <x v="0"/>
    <x v="0"/>
    <n v="10"/>
    <n v="20"/>
  </r>
  <r>
    <n v="3448"/>
    <s v="Fabiana Lima"/>
    <x v="1"/>
    <d v="2024-09-30T00:00:00"/>
    <x v="0"/>
    <x v="1"/>
    <x v="2"/>
    <x v="1"/>
    <x v="1"/>
    <x v="1"/>
    <x v="1"/>
    <n v="0"/>
    <n v="5"/>
  </r>
  <r>
    <n v="3449"/>
    <s v="Gabriel Santos"/>
    <x v="0"/>
    <d v="2024-10-01T00:00:00"/>
    <x v="1"/>
    <x v="0"/>
    <x v="0"/>
    <x v="0"/>
    <x v="0"/>
    <x v="0"/>
    <x v="0"/>
    <n v="3"/>
    <n v="62"/>
  </r>
  <r>
    <n v="3450"/>
    <s v="Helena Ferreira"/>
    <x v="2"/>
    <d v="2024-10-02T00:00:00"/>
    <x v="0"/>
    <x v="2"/>
    <x v="1"/>
    <x v="1"/>
    <x v="1"/>
    <x v="0"/>
    <x v="0"/>
    <n v="15"/>
    <n v="15"/>
  </r>
  <r>
    <n v="3451"/>
    <s v="Ígor Nunes"/>
    <x v="1"/>
    <d v="2024-10-03T00:00:00"/>
    <x v="1"/>
    <x v="1"/>
    <x v="0"/>
    <x v="1"/>
    <x v="1"/>
    <x v="1"/>
    <x v="1"/>
    <n v="1"/>
    <n v="4"/>
  </r>
  <r>
    <n v="3452"/>
    <s v="Joana Silveira"/>
    <x v="0"/>
    <d v="2024-10-04T00:00:00"/>
    <x v="0"/>
    <x v="0"/>
    <x v="2"/>
    <x v="0"/>
    <x v="0"/>
    <x v="0"/>
    <x v="0"/>
    <n v="7"/>
    <n v="58"/>
  </r>
  <r>
    <n v="3453"/>
    <s v="Kléber Oliveira"/>
    <x v="2"/>
    <d v="2024-10-05T00:00:00"/>
    <x v="1"/>
    <x v="2"/>
    <x v="0"/>
    <x v="1"/>
    <x v="1"/>
    <x v="0"/>
    <x v="0"/>
    <n v="10"/>
    <n v="20"/>
  </r>
  <r>
    <n v="3454"/>
    <s v="Luciana Morais"/>
    <x v="1"/>
    <d v="2024-10-06T00:00:00"/>
    <x v="0"/>
    <x v="1"/>
    <x v="1"/>
    <x v="1"/>
    <x v="1"/>
    <x v="1"/>
    <x v="1"/>
    <n v="0"/>
    <n v="5"/>
  </r>
  <r>
    <n v="3455"/>
    <s v="Marcos Vinícius"/>
    <x v="0"/>
    <d v="2024-10-07T00:00:00"/>
    <x v="1"/>
    <x v="0"/>
    <x v="0"/>
    <x v="0"/>
    <x v="0"/>
    <x v="0"/>
    <x v="0"/>
    <n v="20"/>
    <n v="45"/>
  </r>
  <r>
    <n v="3456"/>
    <s v="Natália Barros"/>
    <x v="2"/>
    <d v="2024-10-08T00:00:00"/>
    <x v="0"/>
    <x v="2"/>
    <x v="2"/>
    <x v="1"/>
    <x v="1"/>
    <x v="0"/>
    <x v="0"/>
    <n v="15"/>
    <n v="15"/>
  </r>
  <r>
    <n v="3457"/>
    <s v="Oscar Sampaio"/>
    <x v="1"/>
    <d v="2024-10-09T00:00:00"/>
    <x v="1"/>
    <x v="1"/>
    <x v="0"/>
    <x v="1"/>
    <x v="1"/>
    <x v="1"/>
    <x v="1"/>
    <n v="1"/>
    <n v="4"/>
  </r>
  <r>
    <n v="3458"/>
    <s v="Patrícia Leite"/>
    <x v="0"/>
    <d v="2024-10-10T00:00:00"/>
    <x v="0"/>
    <x v="0"/>
    <x v="1"/>
    <x v="0"/>
    <x v="0"/>
    <x v="0"/>
    <x v="0"/>
    <n v="3"/>
    <n v="62"/>
  </r>
  <r>
    <n v="3459"/>
    <s v="Quênia Rocha"/>
    <x v="2"/>
    <d v="2024-10-11T00:00:00"/>
    <x v="1"/>
    <x v="2"/>
    <x v="0"/>
    <x v="1"/>
    <x v="1"/>
    <x v="0"/>
    <x v="0"/>
    <n v="10"/>
    <n v="20"/>
  </r>
  <r>
    <n v="3460"/>
    <s v="Rafael Torres"/>
    <x v="1"/>
    <d v="2024-10-12T00:00:00"/>
    <x v="0"/>
    <x v="1"/>
    <x v="2"/>
    <x v="1"/>
    <x v="1"/>
    <x v="1"/>
    <x v="1"/>
    <n v="0"/>
    <n v="5"/>
  </r>
  <r>
    <n v="3461"/>
    <s v="Sandra Gouveia"/>
    <x v="0"/>
    <d v="2024-10-13T00:00:00"/>
    <x v="1"/>
    <x v="0"/>
    <x v="0"/>
    <x v="0"/>
    <x v="0"/>
    <x v="0"/>
    <x v="0"/>
    <n v="15"/>
    <n v="50"/>
  </r>
  <r>
    <n v="3462"/>
    <s v="Tiago Lacerda"/>
    <x v="2"/>
    <d v="2024-10-14T00:00:00"/>
    <x v="0"/>
    <x v="2"/>
    <x v="1"/>
    <x v="1"/>
    <x v="1"/>
    <x v="0"/>
    <x v="0"/>
    <n v="15"/>
    <n v="15"/>
  </r>
  <r>
    <n v="3463"/>
    <s v="Ursula Fonseca"/>
    <x v="1"/>
    <d v="2024-10-15T00:00:00"/>
    <x v="1"/>
    <x v="1"/>
    <x v="0"/>
    <x v="1"/>
    <x v="1"/>
    <x v="1"/>
    <x v="1"/>
    <n v="1"/>
    <n v="4"/>
  </r>
  <r>
    <n v="3464"/>
    <s v="Vanessa Andrade"/>
    <x v="0"/>
    <d v="2024-10-16T00:00:00"/>
    <x v="0"/>
    <x v="0"/>
    <x v="2"/>
    <x v="0"/>
    <x v="0"/>
    <x v="0"/>
    <x v="0"/>
    <n v="7"/>
    <n v="58"/>
  </r>
  <r>
    <n v="3465"/>
    <s v="William Castro"/>
    <x v="2"/>
    <d v="2024-10-17T00:00:00"/>
    <x v="1"/>
    <x v="2"/>
    <x v="0"/>
    <x v="1"/>
    <x v="1"/>
    <x v="0"/>
    <x v="0"/>
    <n v="10"/>
    <n v="20"/>
  </r>
  <r>
    <n v="3466"/>
    <s v="Xavier Monteiro"/>
    <x v="1"/>
    <d v="2024-10-18T00:00:00"/>
    <x v="0"/>
    <x v="1"/>
    <x v="1"/>
    <x v="1"/>
    <x v="1"/>
    <x v="1"/>
    <x v="1"/>
    <n v="0"/>
    <n v="5"/>
  </r>
  <r>
    <n v="3467"/>
    <s v="Yasmin Figueira"/>
    <x v="0"/>
    <d v="2024-10-19T00:00:00"/>
    <x v="1"/>
    <x v="0"/>
    <x v="0"/>
    <x v="0"/>
    <x v="0"/>
    <x v="0"/>
    <x v="0"/>
    <n v="15"/>
    <n v="50"/>
  </r>
  <r>
    <n v="3468"/>
    <s v="Zacarias Mendonça"/>
    <x v="2"/>
    <d v="2024-10-20T00:00:00"/>
    <x v="0"/>
    <x v="2"/>
    <x v="2"/>
    <x v="1"/>
    <x v="1"/>
    <x v="0"/>
    <x v="0"/>
    <n v="12"/>
    <n v="18"/>
  </r>
  <r>
    <n v="3469"/>
    <s v="Amanda Menezes"/>
    <x v="1"/>
    <d v="2024-10-21T00:00:00"/>
    <x v="1"/>
    <x v="1"/>
    <x v="0"/>
    <x v="1"/>
    <x v="1"/>
    <x v="1"/>
    <x v="1"/>
    <n v="2"/>
    <n v="3"/>
  </r>
  <r>
    <n v="3470"/>
    <s v="Bruno Santos"/>
    <x v="0"/>
    <d v="2024-10-22T00:00:00"/>
    <x v="0"/>
    <x v="0"/>
    <x v="1"/>
    <x v="0"/>
    <x v="0"/>
    <x v="0"/>
    <x v="0"/>
    <n v="5"/>
    <n v="60"/>
  </r>
  <r>
    <n v="3471"/>
    <s v="Carla Ferreira"/>
    <x v="2"/>
    <d v="2024-10-23T00:00:00"/>
    <x v="1"/>
    <x v="2"/>
    <x v="0"/>
    <x v="1"/>
    <x v="1"/>
    <x v="0"/>
    <x v="0"/>
    <n v="10"/>
    <n v="20"/>
  </r>
  <r>
    <n v="3472"/>
    <s v="Diogo Alves"/>
    <x v="1"/>
    <d v="2024-10-24T00:00:00"/>
    <x v="0"/>
    <x v="1"/>
    <x v="2"/>
    <x v="1"/>
    <x v="1"/>
    <x v="1"/>
    <x v="1"/>
    <n v="0"/>
    <n v="5"/>
  </r>
  <r>
    <n v="3473"/>
    <s v="Elisa Neves"/>
    <x v="0"/>
    <d v="2024-10-25T00:00:00"/>
    <x v="1"/>
    <x v="0"/>
    <x v="0"/>
    <x v="0"/>
    <x v="0"/>
    <x v="0"/>
    <x v="0"/>
    <n v="3"/>
    <n v="62"/>
  </r>
  <r>
    <n v="3474"/>
    <s v="Fabiano Pires"/>
    <x v="2"/>
    <d v="2024-10-26T00:00:00"/>
    <x v="0"/>
    <x v="2"/>
    <x v="1"/>
    <x v="1"/>
    <x v="1"/>
    <x v="0"/>
    <x v="0"/>
    <n v="15"/>
    <n v="15"/>
  </r>
  <r>
    <n v="3475"/>
    <s v="Giovana Ribeiro"/>
    <x v="1"/>
    <d v="2024-10-27T00:00:00"/>
    <x v="1"/>
    <x v="1"/>
    <x v="0"/>
    <x v="1"/>
    <x v="1"/>
    <x v="1"/>
    <x v="1"/>
    <n v="1"/>
    <n v="4"/>
  </r>
  <r>
    <n v="3476"/>
    <s v="Hélio Costa"/>
    <x v="0"/>
    <d v="2024-10-28T00:00:00"/>
    <x v="0"/>
    <x v="0"/>
    <x v="2"/>
    <x v="0"/>
    <x v="0"/>
    <x v="0"/>
    <x v="0"/>
    <n v="7"/>
    <n v="58"/>
  </r>
  <r>
    <n v="3477"/>
    <s v="Íris Loureiro"/>
    <x v="2"/>
    <d v="2024-10-29T00:00:00"/>
    <x v="1"/>
    <x v="2"/>
    <x v="0"/>
    <x v="1"/>
    <x v="1"/>
    <x v="0"/>
    <x v="0"/>
    <n v="10"/>
    <n v="20"/>
  </r>
  <r>
    <n v="3478"/>
    <s v="João Pereira"/>
    <x v="1"/>
    <d v="2024-10-30T00:00:00"/>
    <x v="0"/>
    <x v="1"/>
    <x v="1"/>
    <x v="1"/>
    <x v="1"/>
    <x v="1"/>
    <x v="1"/>
    <n v="0"/>
    <n v="5"/>
  </r>
  <r>
    <n v="3479"/>
    <s v="Klara Silva"/>
    <x v="0"/>
    <d v="2024-10-31T00:00:00"/>
    <x v="1"/>
    <x v="0"/>
    <x v="0"/>
    <x v="0"/>
    <x v="0"/>
    <x v="0"/>
    <x v="0"/>
    <n v="20"/>
    <n v="45"/>
  </r>
  <r>
    <n v="3480"/>
    <s v="Luciana Barros"/>
    <x v="2"/>
    <d v="2024-11-01T00:00:00"/>
    <x v="0"/>
    <x v="2"/>
    <x v="2"/>
    <x v="1"/>
    <x v="1"/>
    <x v="0"/>
    <x v="0"/>
    <n v="15"/>
    <n v="15"/>
  </r>
  <r>
    <n v="3481"/>
    <s v="Marcos Gomes"/>
    <x v="1"/>
    <d v="2024-11-02T00:00:00"/>
    <x v="1"/>
    <x v="1"/>
    <x v="0"/>
    <x v="1"/>
    <x v="1"/>
    <x v="1"/>
    <x v="1"/>
    <n v="1"/>
    <n v="4"/>
  </r>
  <r>
    <n v="3482"/>
    <s v="Natália Soares"/>
    <x v="0"/>
    <d v="2024-11-03T00:00:00"/>
    <x v="0"/>
    <x v="0"/>
    <x v="1"/>
    <x v="0"/>
    <x v="0"/>
    <x v="0"/>
    <x v="0"/>
    <n v="3"/>
    <n v="62"/>
  </r>
  <r>
    <n v="3483"/>
    <s v="Oscar Machado"/>
    <x v="2"/>
    <d v="2024-11-04T00:00:00"/>
    <x v="1"/>
    <x v="2"/>
    <x v="0"/>
    <x v="1"/>
    <x v="1"/>
    <x v="0"/>
    <x v="0"/>
    <n v="10"/>
    <n v="20"/>
  </r>
  <r>
    <n v="3484"/>
    <s v="Patrícia Lima"/>
    <x v="1"/>
    <d v="2024-11-05T00:00:00"/>
    <x v="0"/>
    <x v="1"/>
    <x v="2"/>
    <x v="1"/>
    <x v="1"/>
    <x v="1"/>
    <x v="1"/>
    <n v="0"/>
    <n v="5"/>
  </r>
  <r>
    <n v="3485"/>
    <s v="Quirino Neto"/>
    <x v="0"/>
    <d v="2024-11-06T00:00:00"/>
    <x v="1"/>
    <x v="0"/>
    <x v="0"/>
    <x v="0"/>
    <x v="0"/>
    <x v="0"/>
    <x v="0"/>
    <n v="15"/>
    <n v="50"/>
  </r>
  <r>
    <n v="3486"/>
    <s v="Rafaela Souza"/>
    <x v="1"/>
    <d v="2024-11-07T00:00:00"/>
    <x v="0"/>
    <x v="1"/>
    <x v="0"/>
    <x v="1"/>
    <x v="1"/>
    <x v="1"/>
    <x v="1"/>
    <n v="0"/>
    <n v="5"/>
  </r>
  <r>
    <n v="3487"/>
    <s v="Sandro Almeida"/>
    <x v="0"/>
    <d v="2024-11-08T00:00:00"/>
    <x v="1"/>
    <x v="0"/>
    <x v="2"/>
    <x v="0"/>
    <x v="0"/>
    <x v="0"/>
    <x v="0"/>
    <n v="7"/>
    <n v="58"/>
  </r>
  <r>
    <n v="3488"/>
    <s v="Tânia Ribeiro"/>
    <x v="2"/>
    <d v="2024-11-09T00:00:00"/>
    <x v="0"/>
    <x v="2"/>
    <x v="1"/>
    <x v="1"/>
    <x v="1"/>
    <x v="0"/>
    <x v="0"/>
    <n v="10"/>
    <n v="20"/>
  </r>
  <r>
    <n v="3489"/>
    <s v="Ugo Dias"/>
    <x v="1"/>
    <d v="2024-11-10T00:00:00"/>
    <x v="1"/>
    <x v="1"/>
    <x v="2"/>
    <x v="1"/>
    <x v="1"/>
    <x v="1"/>
    <x v="1"/>
    <n v="1"/>
    <n v="4"/>
  </r>
  <r>
    <n v="3490"/>
    <s v="Valéria Lima"/>
    <x v="0"/>
    <d v="2024-11-11T00:00:00"/>
    <x v="0"/>
    <x v="0"/>
    <x v="0"/>
    <x v="0"/>
    <x v="0"/>
    <x v="0"/>
    <x v="0"/>
    <n v="15"/>
    <n v="50"/>
  </r>
  <r>
    <n v="3491"/>
    <s v="William Fernandes"/>
    <x v="2"/>
    <d v="2024-11-12T00:00:00"/>
    <x v="1"/>
    <x v="2"/>
    <x v="0"/>
    <x v="1"/>
    <x v="1"/>
    <x v="0"/>
    <x v="0"/>
    <n v="5"/>
    <n v="25"/>
  </r>
  <r>
    <n v="3492"/>
    <s v="Xuxa Mendes"/>
    <x v="1"/>
    <d v="2024-11-13T00:00:00"/>
    <x v="0"/>
    <x v="1"/>
    <x v="1"/>
    <x v="1"/>
    <x v="1"/>
    <x v="1"/>
    <x v="1"/>
    <n v="0"/>
    <n v="5"/>
  </r>
  <r>
    <n v="3493"/>
    <s v="Ygor Farias"/>
    <x v="0"/>
    <d v="2024-11-14T00:00:00"/>
    <x v="1"/>
    <x v="0"/>
    <x v="2"/>
    <x v="0"/>
    <x v="0"/>
    <x v="0"/>
    <x v="0"/>
    <n v="20"/>
    <n v="45"/>
  </r>
  <r>
    <n v="3494"/>
    <s v="Zilda Barros"/>
    <x v="2"/>
    <d v="2024-11-15T00:00:00"/>
    <x v="0"/>
    <x v="2"/>
    <x v="2"/>
    <x v="1"/>
    <x v="1"/>
    <x v="0"/>
    <x v="0"/>
    <n v="12"/>
    <n v="18"/>
  </r>
  <r>
    <n v="3495"/>
    <s v="Amanda Santos"/>
    <x v="1"/>
    <d v="2024-11-16T00:00:00"/>
    <x v="1"/>
    <x v="1"/>
    <x v="0"/>
    <x v="1"/>
    <x v="1"/>
    <x v="1"/>
    <x v="1"/>
    <n v="2"/>
    <n v="3"/>
  </r>
  <r>
    <n v="3496"/>
    <s v="Bruno Costa"/>
    <x v="0"/>
    <d v="2024-11-17T00:00:00"/>
    <x v="0"/>
    <x v="0"/>
    <x v="1"/>
    <x v="0"/>
    <x v="0"/>
    <x v="0"/>
    <x v="0"/>
    <n v="5"/>
    <n v="60"/>
  </r>
  <r>
    <n v="3497"/>
    <s v="Carla Rodrigues"/>
    <x v="2"/>
    <d v="2024-11-18T00:00:00"/>
    <x v="1"/>
    <x v="2"/>
    <x v="0"/>
    <x v="1"/>
    <x v="1"/>
    <x v="0"/>
    <x v="0"/>
    <n v="10"/>
    <n v="20"/>
  </r>
  <r>
    <n v="3498"/>
    <s v="Diogo Pereira"/>
    <x v="1"/>
    <d v="2024-11-19T00:00:00"/>
    <x v="0"/>
    <x v="1"/>
    <x v="2"/>
    <x v="1"/>
    <x v="1"/>
    <x v="1"/>
    <x v="1"/>
    <n v="0"/>
    <n v="5"/>
  </r>
  <r>
    <n v="3499"/>
    <s v="Elisa Correia"/>
    <x v="0"/>
    <d v="2024-11-20T00:00:00"/>
    <x v="1"/>
    <x v="0"/>
    <x v="0"/>
    <x v="0"/>
    <x v="0"/>
    <x v="0"/>
    <x v="0"/>
    <n v="3"/>
    <n v="62"/>
  </r>
  <r>
    <n v="3500"/>
    <s v="Fábio Lourenço"/>
    <x v="2"/>
    <d v="2024-11-21T00:00:00"/>
    <x v="0"/>
    <x v="2"/>
    <x v="1"/>
    <x v="1"/>
    <x v="1"/>
    <x v="0"/>
    <x v="0"/>
    <n v="15"/>
    <n v="15"/>
  </r>
  <r>
    <n v="3501"/>
    <s v="Gabriela Neves"/>
    <x v="1"/>
    <d v="2024-11-22T00:00:00"/>
    <x v="1"/>
    <x v="1"/>
    <x v="0"/>
    <x v="1"/>
    <x v="1"/>
    <x v="1"/>
    <x v="1"/>
    <n v="1"/>
    <n v="4"/>
  </r>
  <r>
    <n v="3502"/>
    <s v="Henrique Gonçalves"/>
    <x v="0"/>
    <d v="2024-11-23T00:00:00"/>
    <x v="0"/>
    <x v="0"/>
    <x v="2"/>
    <x v="0"/>
    <x v="0"/>
    <x v="0"/>
    <x v="0"/>
    <n v="7"/>
    <n v="58"/>
  </r>
  <r>
    <n v="3503"/>
    <s v="Íris Santos"/>
    <x v="2"/>
    <d v="2024-11-24T00:00:00"/>
    <x v="1"/>
    <x v="2"/>
    <x v="0"/>
    <x v="1"/>
    <x v="1"/>
    <x v="0"/>
    <x v="0"/>
    <n v="10"/>
    <n v="20"/>
  </r>
  <r>
    <n v="3504"/>
    <s v="João Marcelo Alves"/>
    <x v="1"/>
    <d v="2024-11-25T00:00:00"/>
    <x v="0"/>
    <x v="1"/>
    <x v="1"/>
    <x v="1"/>
    <x v="1"/>
    <x v="1"/>
    <x v="1"/>
    <n v="0"/>
    <n v="5"/>
  </r>
  <r>
    <n v="3505"/>
    <s v="Klara Fonseca"/>
    <x v="0"/>
    <d v="2024-11-26T00:00:00"/>
    <x v="1"/>
    <x v="0"/>
    <x v="0"/>
    <x v="0"/>
    <x v="0"/>
    <x v="0"/>
    <x v="0"/>
    <n v="20"/>
    <n v="45"/>
  </r>
  <r>
    <n v="3506"/>
    <s v="Lucas Mendonça"/>
    <x v="2"/>
    <d v="2024-11-27T00:00:00"/>
    <x v="0"/>
    <x v="2"/>
    <x v="2"/>
    <x v="1"/>
    <x v="1"/>
    <x v="0"/>
    <x v="0"/>
    <n v="15"/>
    <n v="15"/>
  </r>
  <r>
    <n v="3507"/>
    <s v="Marcela Torres"/>
    <x v="1"/>
    <d v="2024-11-28T00:00:00"/>
    <x v="1"/>
    <x v="1"/>
    <x v="0"/>
    <x v="1"/>
    <x v="1"/>
    <x v="1"/>
    <x v="1"/>
    <n v="1"/>
    <n v="4"/>
  </r>
  <r>
    <n v="3508"/>
    <s v="Natália Castro"/>
    <x v="0"/>
    <d v="2024-11-29T00:00:00"/>
    <x v="0"/>
    <x v="0"/>
    <x v="1"/>
    <x v="0"/>
    <x v="0"/>
    <x v="0"/>
    <x v="0"/>
    <n v="3"/>
    <n v="62"/>
  </r>
  <r>
    <n v="3509"/>
    <s v="Oscar Martins"/>
    <x v="2"/>
    <d v="2024-11-30T00:00:00"/>
    <x v="1"/>
    <x v="2"/>
    <x v="0"/>
    <x v="1"/>
    <x v="1"/>
    <x v="0"/>
    <x v="0"/>
    <n v="10"/>
    <n v="20"/>
  </r>
  <r>
    <n v="3510"/>
    <s v="Patrícia Oliveira"/>
    <x v="1"/>
    <d v="2024-12-01T00:00:00"/>
    <x v="0"/>
    <x v="1"/>
    <x v="2"/>
    <x v="1"/>
    <x v="1"/>
    <x v="1"/>
    <x v="1"/>
    <n v="0"/>
    <n v="5"/>
  </r>
  <r>
    <n v="3511"/>
    <s v="Quentin Nogueira"/>
    <x v="0"/>
    <d v="2024-12-02T00:00:00"/>
    <x v="1"/>
    <x v="0"/>
    <x v="0"/>
    <x v="0"/>
    <x v="0"/>
    <x v="0"/>
    <x v="0"/>
    <n v="15"/>
    <n v="50"/>
  </r>
  <r>
    <n v="3512"/>
    <s v="Raquel Silva"/>
    <x v="2"/>
    <d v="2024-12-03T00:00:00"/>
    <x v="0"/>
    <x v="2"/>
    <x v="1"/>
    <x v="1"/>
    <x v="1"/>
    <x v="0"/>
    <x v="0"/>
    <n v="15"/>
    <n v="15"/>
  </r>
  <r>
    <n v="3513"/>
    <s v="Sandro Gomes"/>
    <x v="1"/>
    <d v="2024-12-04T00:00:00"/>
    <x v="1"/>
    <x v="1"/>
    <x v="0"/>
    <x v="1"/>
    <x v="1"/>
    <x v="1"/>
    <x v="1"/>
    <n v="1"/>
    <n v="4"/>
  </r>
  <r>
    <n v="3514"/>
    <s v="Tânia Machado"/>
    <x v="0"/>
    <d v="2024-12-05T00:00:00"/>
    <x v="0"/>
    <x v="0"/>
    <x v="2"/>
    <x v="0"/>
    <x v="0"/>
    <x v="0"/>
    <x v="0"/>
    <n v="7"/>
    <n v="58"/>
  </r>
  <r>
    <n v="3515"/>
    <s v="Ursula Silva"/>
    <x v="2"/>
    <d v="2024-12-06T00:00:00"/>
    <x v="1"/>
    <x v="2"/>
    <x v="0"/>
    <x v="1"/>
    <x v="1"/>
    <x v="0"/>
    <x v="0"/>
    <n v="10"/>
    <n v="20"/>
  </r>
  <r>
    <n v="3516"/>
    <s v="Vanessa Moraes"/>
    <x v="1"/>
    <d v="2024-12-07T00:00:00"/>
    <x v="0"/>
    <x v="1"/>
    <x v="1"/>
    <x v="1"/>
    <x v="1"/>
    <x v="1"/>
    <x v="1"/>
    <n v="0"/>
    <n v="5"/>
  </r>
  <r>
    <n v="3517"/>
    <s v="William Carvalho"/>
    <x v="0"/>
    <d v="2024-12-08T00:00:00"/>
    <x v="1"/>
    <x v="0"/>
    <x v="0"/>
    <x v="0"/>
    <x v="0"/>
    <x v="0"/>
    <x v="0"/>
    <n v="20"/>
    <n v="45"/>
  </r>
  <r>
    <n v="3518"/>
    <s v="Xavier Reis"/>
    <x v="2"/>
    <d v="2024-12-09T00:00:00"/>
    <x v="0"/>
    <x v="2"/>
    <x v="2"/>
    <x v="1"/>
    <x v="1"/>
    <x v="0"/>
    <x v="0"/>
    <n v="12"/>
    <n v="18"/>
  </r>
  <r>
    <n v="3519"/>
    <s v="Yasmin Rocha"/>
    <x v="1"/>
    <d v="2024-12-10T00:00:00"/>
    <x v="1"/>
    <x v="1"/>
    <x v="0"/>
    <x v="1"/>
    <x v="1"/>
    <x v="1"/>
    <x v="1"/>
    <n v="2"/>
    <n v="3"/>
  </r>
  <r>
    <n v="3520"/>
    <s v="Zacarias Duarte"/>
    <x v="0"/>
    <d v="2024-12-11T00:00:00"/>
    <x v="0"/>
    <x v="0"/>
    <x v="1"/>
    <x v="0"/>
    <x v="0"/>
    <x v="0"/>
    <x v="0"/>
    <n v="5"/>
    <n v="60"/>
  </r>
  <r>
    <n v="3521"/>
    <s v="Amanda Freitas"/>
    <x v="2"/>
    <d v="2024-12-12T00:00:00"/>
    <x v="1"/>
    <x v="2"/>
    <x v="0"/>
    <x v="1"/>
    <x v="1"/>
    <x v="0"/>
    <x v="0"/>
    <n v="10"/>
    <n v="20"/>
  </r>
  <r>
    <n v="3522"/>
    <s v="Bruno Almeida"/>
    <x v="1"/>
    <d v="2024-12-13T00:00:00"/>
    <x v="0"/>
    <x v="1"/>
    <x v="2"/>
    <x v="1"/>
    <x v="1"/>
    <x v="1"/>
    <x v="1"/>
    <n v="0"/>
    <n v="5"/>
  </r>
  <r>
    <n v="3523"/>
    <s v="Carla Siqueira"/>
    <x v="0"/>
    <d v="2024-12-14T00:00:00"/>
    <x v="1"/>
    <x v="0"/>
    <x v="0"/>
    <x v="0"/>
    <x v="0"/>
    <x v="0"/>
    <x v="0"/>
    <n v="3"/>
    <n v="62"/>
  </r>
  <r>
    <n v="3524"/>
    <s v="Diogo Ramos"/>
    <x v="2"/>
    <d v="2024-12-15T00:00:00"/>
    <x v="0"/>
    <x v="2"/>
    <x v="1"/>
    <x v="1"/>
    <x v="1"/>
    <x v="0"/>
    <x v="0"/>
    <n v="15"/>
    <n v="15"/>
  </r>
  <r>
    <n v="3525"/>
    <s v="Elisa Magalhães"/>
    <x v="1"/>
    <d v="2024-12-16T00:00:00"/>
    <x v="1"/>
    <x v="1"/>
    <x v="0"/>
    <x v="1"/>
    <x v="1"/>
    <x v="1"/>
    <x v="1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72A668-488A-4387-A844-04765252F4D5}" name="td-qtd_p_subsctption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C21:D25" firstHeaderRow="1" firstDataRow="1" firstDataCol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/>
  </pivotFields>
  <rowFields count="1">
    <field x="6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Contagem de Total Value" fld="12" subtotal="count" baseField="6" baseItem="2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D2673A-94AD-45F3-973B-4BAD315D5E97}" name="td-valor_p_modalidade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C12:D16" firstHeaderRow="1" firstDataRow="1" firstDataCol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Row" showAll="0">
      <items count="4">
        <item x="1"/>
        <item x="2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42E0CF-F636-48AC-A470-4FC35C0C2A9D}" name="td-cont_auto_renovação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C4:D7" firstHeaderRow="1" firstDataRow="1" firstDataCol="1"/>
  <pivotFields count="13">
    <pivotField dataField="1"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ntagem de Subscriber ID" fld="0" subtotal="count" baseField="4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532050-DEDD-4398-BE3D-1EA3AA46F0E1}" name="td-pilha_valor_assinaturas" cacheId="0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C48:D53" firstHeaderRow="1" firstDataRow="1" firstDataCol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dataField="1" numFmtId="44" showAll="0">
      <items count="4">
        <item x="1"/>
        <item x="2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44" showAll="0">
      <items count="3">
        <item x="1"/>
        <item x="0"/>
        <item t="default"/>
      </items>
    </pivotField>
    <pivotField dataField="1" numFmtId="44" showAll="0"/>
    <pivotField dataField="1" numFmtId="44"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Items count="1">
    <i/>
  </colItems>
  <dataFields count="5">
    <dataField name=" Subscription" fld="5" baseField="0" baseItem="0" numFmtId="44"/>
    <dataField name=" EA Play Season" fld="8" baseField="0" baseItem="0" numFmtId="44"/>
    <dataField name=" Minecraft Season" fld="10" baseField="0" baseItem="0" numFmtId="44"/>
    <dataField name=" Coupon" fld="11" baseField="0" baseItem="0" numFmtId="44"/>
    <dataField name=" Total" fld="12" baseField="0" baseItem="0" numFmtId="44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14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" format="15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" format="16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AA761E-6623-47D7-ADF3-B88E836372E5}" name="td-valor_p_plan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C39:D43" firstHeaderRow="1" firstDataRow="1" firstDataCol="1"/>
  <pivotFields count="13">
    <pivotField showAll="0"/>
    <pivotField showAll="0"/>
    <pivotField axis="axisRow" showAll="0" sortType="descending">
      <items count="4">
        <item x="0"/>
        <item x="2"/>
        <item x="1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2" baseItem="0" numFmtId="44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B64BC1-77DE-47D2-9AB7-9456E431B889}" name="td-qtd_p_plan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C30:D34" firstHeaderRow="1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Total Value" fld="12" subtotal="count" baseField="6" baseItem="2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0E241C1-2603-4EF3-92C5-74D601874A46}" sourceName="Subscription Type">
  <pivotTables>
    <pivotTable tabId="3" name="td-cont_auto_renovação"/>
    <pivotTable tabId="3" name="td-qtd_p_subsctption"/>
    <pivotTable tabId="3" name="td-valor_p_modalidade"/>
    <pivotTable tabId="3" name="td-qtd_p_plan"/>
    <pivotTable tabId="3" name="td-valor_p_plan"/>
    <pivotTable tabId="3" name="td-pilha_valor_assinaturas"/>
  </pivotTables>
  <data>
    <tabular pivotCacheId="355450990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_Renewal" xr10:uid="{6E38140D-A8B6-47AD-B4C4-FB20FA052124}" sourceName="Auto Renewal">
  <pivotTables>
    <pivotTable tabId="3" name="td-qtd_p_subsctption"/>
    <pivotTable tabId="3" name="td-cont_auto_renovação"/>
    <pivotTable tabId="3" name="td-valor_p_modalidade"/>
    <pivotTable tabId="3" name="td-qtd_p_plan"/>
    <pivotTable tabId="3" name="td-valor_p_plan"/>
    <pivotTable tabId="3" name="td-pilha_valor_assinaturas"/>
  </pivotTables>
  <data>
    <tabular pivotCacheId="355450990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6A1BE33C-5F2A-4489-849F-5CFC438EE3F4}" sourceName="Plan">
  <pivotTables>
    <pivotTable tabId="3" name="td-valor_p_plan"/>
    <pivotTable tabId="3" name="td-qtd_p_plan"/>
    <pivotTable tabId="3" name="td-cont_auto_renovação"/>
    <pivotTable tabId="3" name="td-qtd_p_subsctption"/>
    <pivotTable tabId="3" name="td-valor_p_modalidade"/>
    <pivotTable tabId="3" name="td-pilha_valor_assinaturas"/>
  </pivotTables>
  <data>
    <tabular pivotCacheId="355450990">
      <items count="3">
        <i x="1" s="1"/>
        <i x="2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A_Play_Season_Pass" xr10:uid="{682B516F-0BF9-4645-9759-6CC82BD09CAE}" sourceName="EA Play Season Pass">
  <pivotTables>
    <pivotTable tabId="3" name="td-pilha_valor_assinaturas"/>
    <pivotTable tabId="3" name="td-cont_auto_renovação"/>
    <pivotTable tabId="3" name="td-qtd_p_plan"/>
    <pivotTable tabId="3" name="td-qtd_p_subsctption"/>
    <pivotTable tabId="3" name="td-valor_p_modalidade"/>
    <pivotTable tabId="3" name="td-valor_p_plan"/>
  </pivotTables>
  <data>
    <tabular pivotCacheId="355450990">
      <items count="2">
        <i x="1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inecraft_Season_Pass" xr10:uid="{4D99844E-E0BC-4C0C-8B5D-075B94AFAC98}" sourceName="Minecraft Season Pass">
  <pivotTables>
    <pivotTable tabId="3" name="td-pilha_valor_assinaturas"/>
    <pivotTable tabId="3" name="td-cont_auto_renovação"/>
    <pivotTable tabId="3" name="td-qtd_p_plan"/>
    <pivotTable tabId="3" name="td-qtd_p_subsctption"/>
    <pivotTable tabId="3" name="td-valor_p_modalidade"/>
    <pivotTable tabId="3" name="td-valor_p_plan"/>
  </pivotTables>
  <data>
    <tabular pivotCacheId="355450990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2" xr10:uid="{16F6D9F3-510D-4BCD-B289-97FD3BF8A33D}" cache="SegmentaçãodeDados_Subscription_Type" caption="Subscription Type" rowHeight="257175"/>
  <slicer name="Auto Renewal" xr10:uid="{F3EB3EAE-0EAD-43ED-B646-743369F21BCD}" cache="SegmentaçãodeDados_Auto_Renewal" caption="Auto Renewal" rowHeight="257175"/>
  <slicer name="Plan" xr10:uid="{A9EDF753-116B-453B-B0C9-CC5B96DDB125}" cache="SegmentaçãodeDados_Plan" caption="Plan" rowHeight="257175"/>
  <slicer name="EA Play Season Pass" xr10:uid="{F3655620-DB10-4094-92FC-156DAE9D1D8C}" cache="SegmentaçãodeDados_EA_Play_Season_Pass" caption="EA Play Season Pass" rowHeight="257175"/>
  <slicer name="Minecraft Season Pass" xr10:uid="{EA76F2D0-6D02-4997-9A13-5C7DB9ACF4C6}" cache="SegmentaçãodeDados_Minecraft_Season_Pass" caption="Minecraft Season Pass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4" xr10:uid="{F9510111-05A1-4BED-B091-8E9131624E77}" cache="SegmentaçãodeDados_Subscription_Type" caption="Subscription Type" rowHeight="257175"/>
  <slicer name="Auto Renewal 1" xr10:uid="{5DF63005-21E9-468E-AAB4-260F7D2E1445}" cache="SegmentaçãodeDados_Auto_Renewal" caption="Auto Renewal" rowHeight="257175"/>
  <slicer name="Plan 1" xr10:uid="{66D323D7-DAF0-48CA-8697-085F304F2E4D}" cache="SegmentaçãodeDados_Plan" caption="Plan" rowHeight="257175"/>
  <slicer name="EA Play Season Pass 1" xr10:uid="{565D0285-5556-4594-8FB4-BE445BF08677}" cache="SegmentaçãodeDados_EA_Play_Season_Pass" caption="EA Play Season Pass" rowHeight="257175"/>
  <slicer name="Minecraft Season Pass 1" xr10:uid="{5A94EE05-6062-4001-A09A-E71E6B425916}" cache="SegmentaçãodeDados_Minecraft_Season_Pass" caption="Minecraft Season Pass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H5" sqref="H5:H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  <c r="H5" s="18" t="s">
        <v>337</v>
      </c>
      <c r="I5" t="s">
        <v>338</v>
      </c>
    </row>
    <row r="6" spans="2:16" x14ac:dyDescent="0.25">
      <c r="B6" s="4" t="s">
        <v>3</v>
      </c>
      <c r="C6" t="s">
        <v>8</v>
      </c>
      <c r="H6" s="19" t="s">
        <v>340</v>
      </c>
      <c r="I6" t="s">
        <v>339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D1" sqref="D1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E54"/>
  <sheetViews>
    <sheetView showGridLines="0" workbookViewId="0">
      <selection activeCell="H5" sqref="H5:H6"/>
    </sheetView>
  </sheetViews>
  <sheetFormatPr defaultRowHeight="15" x14ac:dyDescent="0.25"/>
  <cols>
    <col min="2" max="2" width="2.7109375" style="14" bestFit="1" customWidth="1"/>
    <col min="3" max="3" width="16.7109375" bestFit="1" customWidth="1"/>
    <col min="4" max="5" width="12.140625" bestFit="1" customWidth="1"/>
    <col min="6" max="6" width="22.140625" bestFit="1" customWidth="1"/>
    <col min="7" max="7" width="19.28515625" bestFit="1" customWidth="1"/>
    <col min="8" max="8" width="10.7109375" bestFit="1" customWidth="1"/>
    <col min="9" max="10" width="37.7109375" bestFit="1" customWidth="1"/>
    <col min="11" max="11" width="36.28515625" bestFit="1" customWidth="1"/>
    <col min="12" max="12" width="39" bestFit="1" customWidth="1"/>
    <col min="13" max="13" width="40.140625" bestFit="1" customWidth="1"/>
    <col min="14" max="14" width="42.85546875" bestFit="1" customWidth="1"/>
    <col min="15" max="15" width="9.7109375" bestFit="1" customWidth="1"/>
    <col min="16" max="16" width="15.5703125" bestFit="1" customWidth="1"/>
    <col min="17" max="17" width="12.140625" bestFit="1" customWidth="1"/>
  </cols>
  <sheetData>
    <row r="2" spans="2:5" x14ac:dyDescent="0.25">
      <c r="B2" s="14" t="s">
        <v>318</v>
      </c>
      <c r="C2" t="s">
        <v>321</v>
      </c>
    </row>
    <row r="4" spans="2:5" x14ac:dyDescent="0.25">
      <c r="C4" s="12" t="s">
        <v>313</v>
      </c>
      <c r="D4" t="s">
        <v>315</v>
      </c>
      <c r="E4" t="s">
        <v>331</v>
      </c>
    </row>
    <row r="5" spans="2:5" x14ac:dyDescent="0.25">
      <c r="C5" s="13" t="s">
        <v>23</v>
      </c>
      <c r="D5" s="16">
        <v>147</v>
      </c>
    </row>
    <row r="6" spans="2:5" x14ac:dyDescent="0.25">
      <c r="C6" s="13" t="s">
        <v>19</v>
      </c>
      <c r="D6" s="16">
        <v>148</v>
      </c>
    </row>
    <row r="7" spans="2:5" x14ac:dyDescent="0.25">
      <c r="C7" s="13" t="s">
        <v>314</v>
      </c>
      <c r="D7" s="16">
        <v>295</v>
      </c>
    </row>
    <row r="10" spans="2:5" x14ac:dyDescent="0.25">
      <c r="B10" s="14" t="s">
        <v>319</v>
      </c>
      <c r="C10" s="13" t="s">
        <v>322</v>
      </c>
    </row>
    <row r="11" spans="2:5" x14ac:dyDescent="0.25">
      <c r="C11" s="13"/>
    </row>
    <row r="12" spans="2:5" x14ac:dyDescent="0.25">
      <c r="C12" s="12" t="s">
        <v>313</v>
      </c>
      <c r="D12" t="s">
        <v>316</v>
      </c>
      <c r="E12" t="s">
        <v>331</v>
      </c>
    </row>
    <row r="13" spans="2:5" x14ac:dyDescent="0.25">
      <c r="C13" s="13" t="s">
        <v>24</v>
      </c>
      <c r="D13" s="15">
        <v>1754</v>
      </c>
    </row>
    <row r="14" spans="2:5" x14ac:dyDescent="0.25">
      <c r="C14" s="13" t="s">
        <v>27</v>
      </c>
      <c r="D14" s="15">
        <v>2308</v>
      </c>
    </row>
    <row r="15" spans="2:5" x14ac:dyDescent="0.25">
      <c r="C15" s="13" t="s">
        <v>20</v>
      </c>
      <c r="D15" s="15">
        <v>3571</v>
      </c>
    </row>
    <row r="16" spans="2:5" x14ac:dyDescent="0.25">
      <c r="C16" s="13" t="s">
        <v>314</v>
      </c>
      <c r="D16" s="15">
        <v>7633</v>
      </c>
    </row>
    <row r="19" spans="2:5" x14ac:dyDescent="0.25">
      <c r="B19" s="14" t="s">
        <v>320</v>
      </c>
      <c r="C19" s="13" t="s">
        <v>323</v>
      </c>
    </row>
    <row r="20" spans="2:5" x14ac:dyDescent="0.25">
      <c r="C20" s="13"/>
    </row>
    <row r="21" spans="2:5" x14ac:dyDescent="0.25">
      <c r="C21" s="12" t="s">
        <v>313</v>
      </c>
      <c r="D21" t="s">
        <v>317</v>
      </c>
      <c r="E21" t="s">
        <v>331</v>
      </c>
    </row>
    <row r="22" spans="2:5" x14ac:dyDescent="0.25">
      <c r="C22" s="13" t="s">
        <v>20</v>
      </c>
      <c r="D22" s="16">
        <v>139</v>
      </c>
    </row>
    <row r="23" spans="2:5" x14ac:dyDescent="0.25">
      <c r="C23" s="13" t="s">
        <v>27</v>
      </c>
      <c r="D23" s="16">
        <v>85</v>
      </c>
    </row>
    <row r="24" spans="2:5" x14ac:dyDescent="0.25">
      <c r="C24" s="13" t="s">
        <v>24</v>
      </c>
      <c r="D24" s="16">
        <v>71</v>
      </c>
    </row>
    <row r="25" spans="2:5" x14ac:dyDescent="0.25">
      <c r="C25" s="13" t="s">
        <v>314</v>
      </c>
      <c r="D25" s="16">
        <v>295</v>
      </c>
    </row>
    <row r="28" spans="2:5" x14ac:dyDescent="0.25">
      <c r="B28" s="14" t="s">
        <v>324</v>
      </c>
      <c r="C28" s="13" t="s">
        <v>326</v>
      </c>
    </row>
    <row r="29" spans="2:5" x14ac:dyDescent="0.25">
      <c r="C29" s="13"/>
    </row>
    <row r="30" spans="2:5" x14ac:dyDescent="0.25">
      <c r="C30" s="12" t="s">
        <v>313</v>
      </c>
      <c r="D30" t="s">
        <v>317</v>
      </c>
      <c r="E30" t="s">
        <v>331</v>
      </c>
    </row>
    <row r="31" spans="2:5" x14ac:dyDescent="0.25">
      <c r="C31" s="13" t="s">
        <v>22</v>
      </c>
      <c r="D31" s="16">
        <v>101</v>
      </c>
    </row>
    <row r="32" spans="2:5" x14ac:dyDescent="0.25">
      <c r="C32" s="13" t="s">
        <v>26</v>
      </c>
      <c r="D32" s="16">
        <v>96</v>
      </c>
    </row>
    <row r="33" spans="2:5" x14ac:dyDescent="0.25">
      <c r="C33" s="13" t="s">
        <v>18</v>
      </c>
      <c r="D33" s="16">
        <v>98</v>
      </c>
    </row>
    <row r="34" spans="2:5" x14ac:dyDescent="0.25">
      <c r="C34" s="13" t="s">
        <v>314</v>
      </c>
      <c r="D34" s="16">
        <v>295</v>
      </c>
    </row>
    <row r="37" spans="2:5" x14ac:dyDescent="0.25">
      <c r="B37" s="14" t="s">
        <v>327</v>
      </c>
      <c r="C37" s="13" t="s">
        <v>325</v>
      </c>
    </row>
    <row r="39" spans="2:5" x14ac:dyDescent="0.25">
      <c r="C39" s="12" t="s">
        <v>313</v>
      </c>
      <c r="D39" t="s">
        <v>316</v>
      </c>
      <c r="E39" t="s">
        <v>331</v>
      </c>
    </row>
    <row r="40" spans="2:5" x14ac:dyDescent="0.25">
      <c r="C40" s="13" t="s">
        <v>18</v>
      </c>
      <c r="D40" s="15">
        <v>5388</v>
      </c>
    </row>
    <row r="41" spans="2:5" x14ac:dyDescent="0.25">
      <c r="C41" s="13" t="s">
        <v>26</v>
      </c>
      <c r="D41" s="15">
        <v>1801</v>
      </c>
    </row>
    <row r="42" spans="2:5" x14ac:dyDescent="0.25">
      <c r="C42" s="13" t="s">
        <v>22</v>
      </c>
      <c r="D42" s="15">
        <v>444</v>
      </c>
    </row>
    <row r="43" spans="2:5" x14ac:dyDescent="0.25">
      <c r="C43" s="13" t="s">
        <v>314</v>
      </c>
      <c r="D43" s="15">
        <v>7633</v>
      </c>
    </row>
    <row r="46" spans="2:5" x14ac:dyDescent="0.25">
      <c r="B46" s="14" t="s">
        <v>330</v>
      </c>
      <c r="C46" s="13" t="s">
        <v>328</v>
      </c>
    </row>
    <row r="48" spans="2:5" x14ac:dyDescent="0.25">
      <c r="C48" s="12" t="s">
        <v>329</v>
      </c>
    </row>
    <row r="49" spans="3:5" x14ac:dyDescent="0.25">
      <c r="C49" s="13" t="s">
        <v>332</v>
      </c>
      <c r="D49" s="15">
        <v>2935</v>
      </c>
      <c r="E49" s="17">
        <f>GETPIVOTDATA(" Subscription",$C$48)</f>
        <v>2935</v>
      </c>
    </row>
    <row r="50" spans="3:5" x14ac:dyDescent="0.25">
      <c r="C50" s="13" t="s">
        <v>333</v>
      </c>
      <c r="D50" s="15">
        <v>2940</v>
      </c>
      <c r="E50" s="17">
        <f>GETPIVOTDATA(" EA Play Season",$C$48)</f>
        <v>2940</v>
      </c>
    </row>
    <row r="51" spans="3:5" x14ac:dyDescent="0.25">
      <c r="C51" s="13" t="s">
        <v>334</v>
      </c>
      <c r="D51" s="15">
        <v>3880</v>
      </c>
      <c r="E51" s="17">
        <f>GETPIVOTDATA(" Minecraft Season",$C$48)</f>
        <v>3880</v>
      </c>
    </row>
    <row r="52" spans="3:5" x14ac:dyDescent="0.25">
      <c r="C52" s="13" t="s">
        <v>335</v>
      </c>
      <c r="D52" s="15">
        <v>2122</v>
      </c>
      <c r="E52" s="17">
        <f>GETPIVOTDATA(" Coupon",$C$48)</f>
        <v>2122</v>
      </c>
    </row>
    <row r="53" spans="3:5" x14ac:dyDescent="0.25">
      <c r="C53" s="13" t="s">
        <v>336</v>
      </c>
      <c r="D53" s="15">
        <v>7633</v>
      </c>
      <c r="E53" s="17">
        <f>GETPIVOTDATA(" Total",$C$48)</f>
        <v>7633</v>
      </c>
    </row>
    <row r="54" spans="3:5" x14ac:dyDescent="0.25">
      <c r="E54" s="13"/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7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B40"/>
  <sheetViews>
    <sheetView showGridLines="0" showRowColHeaders="0" tabSelected="1" zoomScale="122" zoomScaleNormal="122" workbookViewId="0">
      <selection activeCell="W3" sqref="W3"/>
    </sheetView>
  </sheetViews>
  <sheetFormatPr defaultColWidth="0" defaultRowHeight="15" zeroHeight="1" x14ac:dyDescent="0.25"/>
  <cols>
    <col min="1" max="22" width="9.140625" customWidth="1"/>
    <col min="23" max="23" width="11.28515625" customWidth="1"/>
    <col min="24" max="24" width="9.140625" hidden="1" customWidth="1"/>
    <col min="29" max="16384" width="9.140625" hidden="1"/>
  </cols>
  <sheetData>
    <row r="1" spans="1:24" x14ac:dyDescent="0.25">
      <c r="A1" s="4"/>
      <c r="B1" s="4"/>
      <c r="C1" s="4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25">
      <c r="A2" s="4"/>
      <c r="B2" s="4"/>
      <c r="C2" s="4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x14ac:dyDescent="0.25">
      <c r="A3" s="4"/>
      <c r="B3" s="4"/>
      <c r="C3" s="4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20"/>
      <c r="X3" s="7"/>
    </row>
    <row r="4" spans="1:24" x14ac:dyDescent="0.25">
      <c r="A4" s="4"/>
      <c r="B4" s="4"/>
      <c r="C4" s="4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25">
      <c r="A5" s="4"/>
      <c r="B5" s="4"/>
      <c r="C5" s="4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x14ac:dyDescent="0.25">
      <c r="A6" s="4"/>
      <c r="B6" s="4"/>
      <c r="C6" s="4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x14ac:dyDescent="0.25">
      <c r="A7" s="4"/>
      <c r="B7" s="4"/>
      <c r="C7" s="4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x14ac:dyDescent="0.25">
      <c r="A8" s="4"/>
      <c r="B8" s="4"/>
      <c r="C8" s="4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x14ac:dyDescent="0.25">
      <c r="A9" s="4"/>
      <c r="B9" s="4"/>
      <c r="C9" s="4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x14ac:dyDescent="0.25">
      <c r="A10" s="4"/>
      <c r="B10" s="4"/>
      <c r="C10" s="4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x14ac:dyDescent="0.25">
      <c r="A11" s="4"/>
      <c r="B11" s="4"/>
      <c r="C11" s="4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x14ac:dyDescent="0.25">
      <c r="A12" s="4"/>
      <c r="B12" s="4"/>
      <c r="C12" s="4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x14ac:dyDescent="0.25">
      <c r="A13" s="4"/>
      <c r="B13" s="4"/>
      <c r="C13" s="4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x14ac:dyDescent="0.25">
      <c r="A14" s="4"/>
      <c r="B14" s="4"/>
      <c r="C14" s="4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x14ac:dyDescent="0.25">
      <c r="A15" s="4"/>
      <c r="B15" s="4"/>
      <c r="C15" s="4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x14ac:dyDescent="0.25">
      <c r="A16" s="4"/>
      <c r="B16" s="4"/>
      <c r="C16" s="4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x14ac:dyDescent="0.25">
      <c r="A17" s="4"/>
      <c r="B17" s="4"/>
      <c r="C17" s="4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x14ac:dyDescent="0.25">
      <c r="A18" s="4"/>
      <c r="B18" s="4"/>
      <c r="C18" s="4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 x14ac:dyDescent="0.25">
      <c r="A19" s="4"/>
      <c r="B19" s="4"/>
      <c r="C19" s="4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 x14ac:dyDescent="0.25">
      <c r="A20" s="4"/>
      <c r="B20" s="4"/>
      <c r="C20" s="4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 x14ac:dyDescent="0.25">
      <c r="A21" s="4"/>
      <c r="B21" s="4"/>
      <c r="C21" s="4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 x14ac:dyDescent="0.25">
      <c r="A22" s="4"/>
      <c r="B22" s="4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x14ac:dyDescent="0.25">
      <c r="A23" s="4"/>
      <c r="B23" s="4"/>
      <c r="C23" s="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x14ac:dyDescent="0.25">
      <c r="A24" s="4"/>
      <c r="B24" s="4"/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x14ac:dyDescent="0.25">
      <c r="A25" s="4"/>
      <c r="B25" s="4"/>
      <c r="C25" s="4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x14ac:dyDescent="0.25">
      <c r="A26" s="4"/>
      <c r="B26" s="4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x14ac:dyDescent="0.25">
      <c r="A27" s="4"/>
      <c r="B27" s="4"/>
      <c r="C27" s="4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 x14ac:dyDescent="0.25">
      <c r="A28" s="4"/>
      <c r="B28" s="4"/>
      <c r="C28" s="4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x14ac:dyDescent="0.25">
      <c r="A29" s="4"/>
      <c r="B29" s="4"/>
      <c r="C29" s="4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 x14ac:dyDescent="0.25">
      <c r="A30" s="4"/>
      <c r="B30" s="4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x14ac:dyDescent="0.25">
      <c r="A31" s="4"/>
      <c r="B31" s="4"/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 x14ac:dyDescent="0.25">
      <c r="A32" s="4"/>
      <c r="B32" s="4"/>
      <c r="C32" s="4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x14ac:dyDescent="0.25">
      <c r="A33" s="4"/>
      <c r="B33" s="4"/>
      <c r="C33" s="4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 x14ac:dyDescent="0.25">
      <c r="A34" s="4"/>
      <c r="B34" s="4"/>
      <c r="C34" s="4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x14ac:dyDescent="0.25">
      <c r="A35" s="4"/>
      <c r="B35" s="4"/>
      <c r="C35" s="4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 x14ac:dyDescent="0.25">
      <c r="A36" s="4"/>
      <c r="B36" s="4"/>
      <c r="C36" s="4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 x14ac:dyDescent="0.25">
      <c r="A37" s="4"/>
      <c r="B37" s="4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 x14ac:dyDescent="0.25">
      <c r="A38" s="4"/>
      <c r="B38" s="4"/>
      <c r="C38" s="4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hidden="1" x14ac:dyDescent="0.25">
      <c r="A39" s="4"/>
      <c r="B39" s="4"/>
      <c r="C39" s="4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hidden="1" x14ac:dyDescent="0.25">
      <c r="A40" s="4"/>
      <c r="B40" s="4"/>
      <c r="C40" s="4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NW</cp:lastModifiedBy>
  <dcterms:created xsi:type="dcterms:W3CDTF">2024-12-19T13:13:10Z</dcterms:created>
  <dcterms:modified xsi:type="dcterms:W3CDTF">2026-04-21T20:13:42Z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